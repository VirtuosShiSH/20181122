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s\PUBG_QA\"/>
    </mc:Choice>
  </mc:AlternateContent>
  <bookViews>
    <workbookView xWindow="15120" yWindow="0" windowWidth="4410" windowHeight="13020" tabRatio="962" firstSheet="5" activeTab="5"/>
  </bookViews>
  <sheets>
    <sheet name="Sheet1" sheetId="1" state="hidden" r:id="rId1"/>
    <sheet name="20200218" sheetId="5" state="hidden" r:id="rId2"/>
    <sheet name="20200219" sheetId="2" state="hidden" r:id="rId3"/>
    <sheet name="20200220" sheetId="3" state="hidden" r:id="rId4"/>
    <sheet name="20200221" sheetId="6" state="hidden" r:id="rId5"/>
    <sheet name="ShiSonghua" sheetId="9" r:id="rId6"/>
    <sheet name="Assignment" sheetId="7" r:id="rId7"/>
    <sheet name="commands" sheetId="4" r:id="rId8"/>
    <sheet name="Data" sheetId="12" r:id="rId9"/>
    <sheet name="Template" sheetId="13" r:id="rId10"/>
  </sheets>
  <definedNames>
    <definedName name="_xlnm._FilterDatabase" localSheetId="1" hidden="1">'20200218'!$A$1:$F$27</definedName>
    <definedName name="_xlnm._FilterDatabase" localSheetId="2" hidden="1">'20200219'!$A$1:$F$27</definedName>
    <definedName name="_xlnm._FilterDatabase" localSheetId="3" hidden="1">'20200220'!$A$1:$F$13</definedName>
    <definedName name="_xlnm._FilterDatabase" localSheetId="4" hidden="1">'20200221'!$A$1:$F$11</definedName>
    <definedName name="_xlnm._FilterDatabase" localSheetId="5" hidden="1">ShiSonghua!$B$1:$L$213</definedName>
    <definedName name="_xlnm._FilterDatabase" localSheetId="9" hidden="1">Template!$B$1:$L$37</definedName>
    <definedName name="expected">Data!$B$2:$B$8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9" i="9" l="1"/>
  <c r="E166" i="9" l="1"/>
  <c r="E167" i="9"/>
  <c r="E168" i="9"/>
  <c r="E169" i="9"/>
  <c r="E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G171" i="9"/>
  <c r="J171" i="9" s="1"/>
  <c r="G172" i="9"/>
  <c r="J172" i="9" s="1"/>
  <c r="G173" i="9"/>
  <c r="J173" i="9" s="1"/>
  <c r="G174" i="9"/>
  <c r="J174" i="9" s="1"/>
  <c r="G175" i="9"/>
  <c r="J175" i="9" s="1"/>
  <c r="G176" i="9"/>
  <c r="J176" i="9" s="1"/>
  <c r="G177" i="9"/>
  <c r="J177" i="9" s="1"/>
  <c r="G178" i="9"/>
  <c r="J178" i="9" s="1"/>
  <c r="J179" i="9"/>
  <c r="G180" i="9"/>
  <c r="J180" i="9" s="1"/>
  <c r="J181" i="9"/>
  <c r="G182" i="9"/>
  <c r="J182" i="9" s="1"/>
  <c r="G183" i="9"/>
  <c r="J183" i="9" s="1"/>
  <c r="G184" i="9"/>
  <c r="J184" i="9" s="1"/>
  <c r="G185" i="9"/>
  <c r="J185" i="9" s="1"/>
  <c r="G186" i="9"/>
  <c r="J186" i="9" s="1"/>
  <c r="G187" i="9"/>
  <c r="J187" i="9" s="1"/>
  <c r="G188" i="9"/>
  <c r="J188" i="9" s="1"/>
  <c r="G189" i="9"/>
  <c r="J189" i="9" s="1"/>
  <c r="G190" i="9"/>
  <c r="J190" i="9" s="1"/>
  <c r="G191" i="9"/>
  <c r="J191" i="9" s="1"/>
  <c r="G192" i="9"/>
  <c r="J192" i="9" s="1"/>
  <c r="G193" i="9"/>
  <c r="J193" i="9" s="1"/>
  <c r="G194" i="9"/>
  <c r="J194" i="9" s="1"/>
  <c r="G195" i="9"/>
  <c r="G196" i="9"/>
  <c r="J196" i="9" s="1"/>
  <c r="G197" i="9"/>
  <c r="J197" i="9" s="1"/>
  <c r="G198" i="9"/>
  <c r="J198" i="9" s="1"/>
  <c r="G199" i="9"/>
  <c r="J199" i="9" s="1"/>
  <c r="G200" i="9"/>
  <c r="J200" i="9" s="1"/>
  <c r="G201" i="9"/>
  <c r="J201" i="9" s="1"/>
  <c r="G202" i="9"/>
  <c r="J202" i="9" s="1"/>
  <c r="G203" i="9"/>
  <c r="J203" i="9" s="1"/>
  <c r="G204" i="9"/>
  <c r="J204" i="9" s="1"/>
  <c r="G205" i="9"/>
  <c r="J205" i="9" s="1"/>
  <c r="G206" i="9"/>
  <c r="J206" i="9" s="1"/>
  <c r="G207" i="9"/>
  <c r="J207" i="9" s="1"/>
  <c r="G208" i="9"/>
  <c r="G209" i="9"/>
  <c r="J209" i="9" s="1"/>
  <c r="G210" i="9"/>
  <c r="J210" i="9" s="1"/>
  <c r="G211" i="9"/>
  <c r="J211" i="9" s="1"/>
  <c r="G212" i="9"/>
  <c r="J212" i="9" s="1"/>
  <c r="G213" i="9"/>
  <c r="J213" i="9" s="1"/>
  <c r="J195" i="9"/>
  <c r="J208"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D164" i="9"/>
  <c r="D165" i="9"/>
  <c r="D166" i="9"/>
  <c r="D167" i="9"/>
  <c r="D168" i="9"/>
  <c r="D169" i="9"/>
  <c r="D170" i="9"/>
  <c r="E164" i="9"/>
  <c r="E165" i="9"/>
  <c r="G164" i="9"/>
  <c r="J164" i="9" s="1"/>
  <c r="G165" i="9"/>
  <c r="J165" i="9" s="1"/>
  <c r="G166" i="9"/>
  <c r="J166" i="9" s="1"/>
  <c r="G167" i="9"/>
  <c r="J167" i="9" s="1"/>
  <c r="G168" i="9"/>
  <c r="J168" i="9" s="1"/>
  <c r="G169" i="9"/>
  <c r="J169" i="9" s="1"/>
  <c r="G170" i="9"/>
  <c r="J170" i="9" s="1"/>
  <c r="L164" i="9"/>
  <c r="L165" i="9"/>
  <c r="L166" i="9"/>
  <c r="L167" i="9"/>
  <c r="L168" i="9"/>
  <c r="L169" i="9"/>
  <c r="L170" i="9"/>
  <c r="D2" i="9" l="1"/>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E158" i="9"/>
  <c r="E159" i="9"/>
  <c r="E160" i="9"/>
  <c r="E161" i="9"/>
  <c r="E162" i="9"/>
  <c r="E163" i="9"/>
  <c r="G158" i="9"/>
  <c r="J158" i="9" s="1"/>
  <c r="G159" i="9"/>
  <c r="J159" i="9" s="1"/>
  <c r="G160" i="9"/>
  <c r="J160" i="9" s="1"/>
  <c r="J161" i="9"/>
  <c r="J162" i="9"/>
  <c r="G163" i="9"/>
  <c r="J163" i="9" s="1"/>
  <c r="L158" i="9"/>
  <c r="L159" i="9"/>
  <c r="L160" i="9"/>
  <c r="L161" i="9"/>
  <c r="L162" i="9"/>
  <c r="L16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G114" i="9"/>
  <c r="J114" i="9" s="1"/>
  <c r="G115" i="9"/>
  <c r="J115" i="9" s="1"/>
  <c r="G116" i="9"/>
  <c r="J116" i="9" s="1"/>
  <c r="J117" i="9"/>
  <c r="G118" i="9"/>
  <c r="J118" i="9" s="1"/>
  <c r="G119" i="9"/>
  <c r="J119" i="9" s="1"/>
  <c r="G120" i="9"/>
  <c r="J120" i="9" s="1"/>
  <c r="G121" i="9"/>
  <c r="J121" i="9" s="1"/>
  <c r="G122" i="9"/>
  <c r="J122" i="9" s="1"/>
  <c r="G123" i="9"/>
  <c r="J123" i="9" s="1"/>
  <c r="G124" i="9"/>
  <c r="J124" i="9" s="1"/>
  <c r="G125" i="9"/>
  <c r="J125" i="9" s="1"/>
  <c r="J126" i="9"/>
  <c r="G127" i="9"/>
  <c r="J127" i="9" s="1"/>
  <c r="G128" i="9"/>
  <c r="J128" i="9" s="1"/>
  <c r="G129" i="9"/>
  <c r="J129" i="9" s="1"/>
  <c r="G130" i="9"/>
  <c r="J130" i="9" s="1"/>
  <c r="G131" i="9"/>
  <c r="J131" i="9" s="1"/>
  <c r="G132" i="9"/>
  <c r="J132" i="9" s="1"/>
  <c r="G133" i="9"/>
  <c r="J133" i="9" s="1"/>
  <c r="G134" i="9"/>
  <c r="J134" i="9" s="1"/>
  <c r="G135" i="9"/>
  <c r="J135" i="9" s="1"/>
  <c r="G136" i="9"/>
  <c r="J136" i="9" s="1"/>
  <c r="G137" i="9"/>
  <c r="J137" i="9" s="1"/>
  <c r="G138" i="9"/>
  <c r="J138" i="9" s="1"/>
  <c r="G139" i="9"/>
  <c r="J139" i="9" s="1"/>
  <c r="G140" i="9"/>
  <c r="J140" i="9" s="1"/>
  <c r="G141" i="9"/>
  <c r="J141" i="9" s="1"/>
  <c r="G142" i="9"/>
  <c r="J142" i="9" s="1"/>
  <c r="G143" i="9"/>
  <c r="J143" i="9" s="1"/>
  <c r="G144" i="9"/>
  <c r="J144" i="9" s="1"/>
  <c r="G145" i="9"/>
  <c r="J145" i="9" s="1"/>
  <c r="G146" i="9"/>
  <c r="J146" i="9" s="1"/>
  <c r="G147" i="9"/>
  <c r="J147" i="9" s="1"/>
  <c r="G148" i="9"/>
  <c r="J148" i="9" s="1"/>
  <c r="G149" i="9"/>
  <c r="J149" i="9" s="1"/>
  <c r="G150" i="9"/>
  <c r="J150" i="9" s="1"/>
  <c r="G151" i="9"/>
  <c r="J151" i="9" s="1"/>
  <c r="G152" i="9"/>
  <c r="J152" i="9" s="1"/>
  <c r="G153" i="9"/>
  <c r="J153" i="9" s="1"/>
  <c r="G154" i="9"/>
  <c r="J154" i="9" s="1"/>
  <c r="G155" i="9"/>
  <c r="J155" i="9" s="1"/>
  <c r="G156" i="9"/>
  <c r="J156" i="9" s="1"/>
  <c r="G157" i="9"/>
  <c r="J157" i="9" s="1"/>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G102" i="9"/>
  <c r="G3" i="13" l="1"/>
  <c r="G4" i="13"/>
  <c r="G5" i="13"/>
  <c r="G6" i="13"/>
  <c r="G7" i="13"/>
  <c r="G8" i="13"/>
  <c r="G9" i="13"/>
  <c r="G10" i="13"/>
  <c r="G11" i="13"/>
  <c r="G12" i="13"/>
  <c r="G13" i="13"/>
  <c r="G14" i="13"/>
  <c r="G15" i="13"/>
  <c r="G16" i="13"/>
  <c r="G17" i="13"/>
  <c r="G18" i="13"/>
  <c r="G19" i="13"/>
  <c r="G20" i="13"/>
  <c r="G21" i="13"/>
  <c r="G22" i="13"/>
  <c r="G23" i="13"/>
  <c r="G24" i="13"/>
  <c r="G25" i="13"/>
  <c r="G26" i="13"/>
  <c r="J26" i="13" s="1"/>
  <c r="G27" i="13"/>
  <c r="G28" i="13"/>
  <c r="G29" i="13"/>
  <c r="G30" i="13"/>
  <c r="G31" i="13"/>
  <c r="G32" i="13"/>
  <c r="G33" i="13"/>
  <c r="G34" i="13"/>
  <c r="J34" i="13" s="1"/>
  <c r="G35" i="13"/>
  <c r="G36" i="13"/>
  <c r="J36" i="13" s="1"/>
  <c r="G37" i="13"/>
  <c r="J37" i="13" s="1"/>
  <c r="L37" i="13"/>
  <c r="E37" i="13"/>
  <c r="D37" i="13"/>
  <c r="L36" i="13"/>
  <c r="E36" i="13"/>
  <c r="D36" i="13"/>
  <c r="L35" i="13"/>
  <c r="J35" i="13"/>
  <c r="E35" i="13"/>
  <c r="D35" i="13"/>
  <c r="L34" i="13"/>
  <c r="E34" i="13"/>
  <c r="D34" i="13"/>
  <c r="L33" i="13"/>
  <c r="J33" i="13"/>
  <c r="E33" i="13"/>
  <c r="D33" i="13"/>
  <c r="L32" i="13"/>
  <c r="J32" i="13"/>
  <c r="E32" i="13"/>
  <c r="D32" i="13"/>
  <c r="L31" i="13"/>
  <c r="J31" i="13"/>
  <c r="E31" i="13"/>
  <c r="D31" i="13"/>
  <c r="L30" i="13"/>
  <c r="J30" i="13"/>
  <c r="E30" i="13"/>
  <c r="D30" i="13"/>
  <c r="L29" i="13"/>
  <c r="J29" i="13"/>
  <c r="E29" i="13"/>
  <c r="D29" i="13"/>
  <c r="L28" i="13"/>
  <c r="J28" i="13"/>
  <c r="E28" i="13"/>
  <c r="D28" i="13"/>
  <c r="L27" i="13"/>
  <c r="J27" i="13"/>
  <c r="E27" i="13"/>
  <c r="D27" i="13"/>
  <c r="L26" i="13"/>
  <c r="E26" i="13"/>
  <c r="D26" i="13"/>
  <c r="L25" i="13"/>
  <c r="J25" i="13"/>
  <c r="E25" i="13"/>
  <c r="D25" i="13"/>
  <c r="L24" i="13"/>
  <c r="J24" i="13"/>
  <c r="E24" i="13"/>
  <c r="D24" i="13"/>
  <c r="L23" i="13"/>
  <c r="J23" i="13"/>
  <c r="E23" i="13"/>
  <c r="D23" i="13"/>
  <c r="L22" i="13"/>
  <c r="J22" i="13"/>
  <c r="E22" i="13"/>
  <c r="D22" i="13"/>
  <c r="L21" i="13"/>
  <c r="J21" i="13"/>
  <c r="E21" i="13"/>
  <c r="D21" i="13"/>
  <c r="L20" i="13"/>
  <c r="J20" i="13"/>
  <c r="E20" i="13"/>
  <c r="D20" i="13"/>
  <c r="L19" i="13"/>
  <c r="J19" i="13"/>
  <c r="E19" i="13"/>
  <c r="D19" i="13"/>
  <c r="L18" i="13"/>
  <c r="J18" i="13"/>
  <c r="E18" i="13"/>
  <c r="D18" i="13"/>
  <c r="L17" i="13"/>
  <c r="J17" i="13"/>
  <c r="E17" i="13"/>
  <c r="D17" i="13"/>
  <c r="L16" i="13"/>
  <c r="J16" i="13"/>
  <c r="E16" i="13"/>
  <c r="D16" i="13"/>
  <c r="L15" i="13"/>
  <c r="J15" i="13"/>
  <c r="E15" i="13"/>
  <c r="D15" i="13"/>
  <c r="L14" i="13"/>
  <c r="J14" i="13"/>
  <c r="E14" i="13"/>
  <c r="D14" i="13"/>
  <c r="L13" i="13"/>
  <c r="J13" i="13"/>
  <c r="E13" i="13"/>
  <c r="D13" i="13"/>
  <c r="L12" i="13"/>
  <c r="J12" i="13"/>
  <c r="E12" i="13"/>
  <c r="D12" i="13"/>
  <c r="L11" i="13"/>
  <c r="J11" i="13"/>
  <c r="E11" i="13"/>
  <c r="D11" i="13"/>
  <c r="L10" i="13"/>
  <c r="J10" i="13"/>
  <c r="E10" i="13"/>
  <c r="D10" i="13"/>
  <c r="L9" i="13"/>
  <c r="J9" i="13"/>
  <c r="E9" i="13"/>
  <c r="D9" i="13"/>
  <c r="L8" i="13"/>
  <c r="J8" i="13"/>
  <c r="E8" i="13"/>
  <c r="D8" i="13"/>
  <c r="L7" i="13"/>
  <c r="J7" i="13"/>
  <c r="E7" i="13"/>
  <c r="D7" i="13"/>
  <c r="L6" i="13"/>
  <c r="J6" i="13"/>
  <c r="E6" i="13"/>
  <c r="D6" i="13"/>
  <c r="L5" i="13"/>
  <c r="J5" i="13"/>
  <c r="E5" i="13"/>
  <c r="D5" i="13"/>
  <c r="L4" i="13"/>
  <c r="J4" i="13"/>
  <c r="E4" i="13"/>
  <c r="D4" i="13"/>
  <c r="L3" i="13"/>
  <c r="J3" i="13"/>
  <c r="E3" i="13"/>
  <c r="D3" i="13"/>
  <c r="L2" i="13"/>
  <c r="G2" i="13"/>
  <c r="J2" i="13" s="1"/>
  <c r="E2" i="13"/>
  <c r="D2" i="13"/>
  <c r="E109" i="9" l="1"/>
  <c r="G109" i="9"/>
  <c r="J109" i="9" s="1"/>
  <c r="L109" i="9"/>
  <c r="E110" i="9"/>
  <c r="G110" i="9"/>
  <c r="J110" i="9" s="1"/>
  <c r="L110" i="9"/>
  <c r="E111" i="9"/>
  <c r="G111" i="9"/>
  <c r="J111" i="9" s="1"/>
  <c r="L111" i="9"/>
  <c r="E112" i="9"/>
  <c r="G112" i="9"/>
  <c r="J112" i="9" s="1"/>
  <c r="L112" i="9"/>
  <c r="E113" i="9"/>
  <c r="G113" i="9"/>
  <c r="J113" i="9" s="1"/>
  <c r="L113"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L39" i="9"/>
  <c r="L38" i="9"/>
  <c r="L37" i="9"/>
  <c r="L36" i="9"/>
  <c r="L35" i="9"/>
  <c r="L34" i="9"/>
  <c r="L33" i="9"/>
  <c r="L32" i="9"/>
  <c r="L31" i="9"/>
  <c r="L30" i="9"/>
  <c r="L29" i="9"/>
  <c r="L28" i="9"/>
  <c r="L27" i="9"/>
  <c r="L26" i="9"/>
  <c r="L25" i="9"/>
  <c r="L24" i="9"/>
  <c r="L23" i="9"/>
  <c r="L22" i="9"/>
  <c r="L21" i="9"/>
  <c r="L20" i="9"/>
  <c r="L19" i="9"/>
  <c r="L18" i="9"/>
  <c r="L17" i="9"/>
  <c r="L16" i="9"/>
  <c r="L15" i="9"/>
  <c r="L14" i="9"/>
  <c r="L48" i="9"/>
  <c r="L47" i="9"/>
  <c r="L46" i="9"/>
  <c r="L45" i="9"/>
  <c r="L44" i="9"/>
  <c r="L43" i="9"/>
  <c r="L42" i="9"/>
  <c r="L41" i="9"/>
  <c r="L40" i="9"/>
  <c r="L58" i="9"/>
  <c r="L57" i="9"/>
  <c r="L56" i="9"/>
  <c r="L55" i="9"/>
  <c r="L54" i="9"/>
  <c r="L53" i="9"/>
  <c r="L52" i="9"/>
  <c r="L51" i="9"/>
  <c r="L50" i="9"/>
  <c r="L49" i="9"/>
  <c r="G101" i="9" l="1"/>
  <c r="J101" i="9" s="1"/>
  <c r="J102" i="9"/>
  <c r="G103" i="9"/>
  <c r="J103" i="9" s="1"/>
  <c r="J104" i="9"/>
  <c r="G105" i="9"/>
  <c r="J105" i="9" s="1"/>
  <c r="G106" i="9"/>
  <c r="J106" i="9" s="1"/>
  <c r="J107" i="9"/>
  <c r="G108" i="9"/>
  <c r="J108" i="9" s="1"/>
  <c r="G95" i="9"/>
  <c r="J95" i="9" s="1"/>
  <c r="G96" i="9"/>
  <c r="J96" i="9" s="1"/>
  <c r="G97" i="9"/>
  <c r="J97" i="9" s="1"/>
  <c r="G98" i="9"/>
  <c r="J98" i="9" s="1"/>
  <c r="G99" i="9"/>
  <c r="J99" i="9" s="1"/>
  <c r="G100" i="9"/>
  <c r="J100" i="9" s="1"/>
  <c r="G82" i="9"/>
  <c r="J82" i="9" s="1"/>
  <c r="G83" i="9"/>
  <c r="J83" i="9" s="1"/>
  <c r="G84" i="9"/>
  <c r="J84" i="9" s="1"/>
  <c r="G85" i="9"/>
  <c r="J85" i="9" s="1"/>
  <c r="G86" i="9"/>
  <c r="J86" i="9" s="1"/>
  <c r="G87" i="9"/>
  <c r="J87" i="9" s="1"/>
  <c r="G88" i="9"/>
  <c r="J88" i="9" s="1"/>
  <c r="J89" i="9"/>
  <c r="G90" i="9"/>
  <c r="J90" i="9" s="1"/>
  <c r="G91" i="9"/>
  <c r="J91" i="9" s="1"/>
  <c r="G92" i="9"/>
  <c r="J92" i="9" s="1"/>
  <c r="G93" i="9"/>
  <c r="J93" i="9" s="1"/>
  <c r="G94" i="9"/>
  <c r="J94" i="9" s="1"/>
  <c r="G72" i="9"/>
  <c r="J72" i="9" s="1"/>
  <c r="G73" i="9"/>
  <c r="J73" i="9" s="1"/>
  <c r="G74" i="9"/>
  <c r="J74" i="9" s="1"/>
  <c r="G75" i="9"/>
  <c r="J75" i="9" s="1"/>
  <c r="G76" i="9"/>
  <c r="J76" i="9" s="1"/>
  <c r="G77" i="9"/>
  <c r="J77" i="9" s="1"/>
  <c r="G78" i="9"/>
  <c r="J78" i="9" s="1"/>
  <c r="G79" i="9"/>
  <c r="J79" i="9" s="1"/>
  <c r="J80" i="9"/>
  <c r="G81" i="9"/>
  <c r="J81" i="9" s="1"/>
  <c r="G71" i="9"/>
  <c r="J71" i="9" s="1"/>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G65" i="9"/>
  <c r="J65" i="9" s="1"/>
  <c r="G66" i="9"/>
  <c r="J66" i="9" s="1"/>
  <c r="G67" i="9"/>
  <c r="J67" i="9" s="1"/>
  <c r="G68" i="9"/>
  <c r="J68" i="9" s="1"/>
  <c r="G69" i="9"/>
  <c r="J69" i="9" s="1"/>
  <c r="G70" i="9"/>
  <c r="J70" i="9" s="1"/>
  <c r="G64" i="9"/>
  <c r="J64" i="9" s="1"/>
  <c r="G60" i="9"/>
  <c r="J60" i="9" s="1"/>
  <c r="G61" i="9"/>
  <c r="J61" i="9" s="1"/>
  <c r="G62" i="9"/>
  <c r="J62" i="9" s="1"/>
  <c r="G59" i="9"/>
  <c r="J59" i="9" s="1"/>
  <c r="J63" i="9"/>
  <c r="L70" i="9" l="1"/>
  <c r="L69" i="9"/>
  <c r="L68" i="9"/>
  <c r="L67" i="9"/>
  <c r="L66" i="9"/>
  <c r="L65" i="9"/>
  <c r="L64" i="9"/>
  <c r="L63" i="9"/>
  <c r="L62" i="9"/>
  <c r="L61" i="9"/>
  <c r="L60" i="9"/>
  <c r="L59" i="9"/>
  <c r="B3" i="6" l="1"/>
  <c r="B4" i="6"/>
  <c r="B5" i="6"/>
  <c r="B6" i="6"/>
  <c r="B7" i="6"/>
  <c r="B8" i="6"/>
  <c r="B9" i="6"/>
  <c r="B10" i="6"/>
  <c r="B2" i="6"/>
  <c r="F11" i="6"/>
  <c r="B11" i="6"/>
  <c r="F10" i="6"/>
  <c r="F9" i="6"/>
  <c r="F8" i="6"/>
  <c r="F7" i="6"/>
  <c r="F6" i="6"/>
  <c r="F5" i="6"/>
  <c r="F4" i="6"/>
  <c r="F3" i="6"/>
  <c r="F2" i="6"/>
  <c r="F13" i="3"/>
  <c r="F12" i="3"/>
  <c r="F11" i="3"/>
  <c r="F10" i="3"/>
  <c r="B10" i="3"/>
  <c r="F9" i="3"/>
  <c r="B9" i="3"/>
  <c r="F8" i="3"/>
  <c r="B8" i="3"/>
  <c r="F7" i="3"/>
  <c r="B7" i="3"/>
  <c r="F6" i="3"/>
  <c r="B6" i="3"/>
  <c r="F5" i="3"/>
  <c r="B5" i="3"/>
  <c r="F4" i="3"/>
  <c r="B4" i="3"/>
  <c r="F3" i="3"/>
  <c r="B3" i="3"/>
  <c r="F2" i="3"/>
  <c r="B2" i="3"/>
  <c r="F3" i="2"/>
  <c r="F4" i="2"/>
  <c r="F5" i="2"/>
  <c r="F6" i="2"/>
  <c r="F7" i="2"/>
  <c r="F8" i="2"/>
  <c r="F9" i="2"/>
  <c r="F10" i="2"/>
  <c r="F11" i="2"/>
  <c r="F12" i="2"/>
  <c r="F13" i="2"/>
  <c r="F14" i="2"/>
  <c r="F15" i="2"/>
  <c r="F16" i="2"/>
  <c r="F17" i="2"/>
  <c r="F18" i="2"/>
  <c r="F19" i="2"/>
  <c r="F20" i="2"/>
  <c r="F21" i="2"/>
  <c r="F22" i="2"/>
  <c r="F23" i="2"/>
  <c r="F24" i="2"/>
  <c r="F25" i="2"/>
  <c r="F26" i="2"/>
  <c r="F27" i="2"/>
  <c r="F2" i="2"/>
  <c r="B3" i="2"/>
  <c r="B4" i="2"/>
  <c r="B5" i="2"/>
  <c r="B6" i="2"/>
  <c r="B7" i="2"/>
  <c r="B8" i="2"/>
  <c r="B9" i="2"/>
  <c r="B10" i="2"/>
  <c r="B11" i="2"/>
  <c r="B12" i="2"/>
  <c r="B13" i="2"/>
  <c r="B14" i="2"/>
  <c r="B15" i="2"/>
  <c r="B16" i="2"/>
  <c r="B17" i="2"/>
  <c r="B18" i="2"/>
  <c r="B19" i="2"/>
  <c r="B20" i="2"/>
  <c r="B21" i="2"/>
  <c r="B22" i="2"/>
  <c r="B23" i="2"/>
  <c r="B24" i="2"/>
  <c r="B25" i="2"/>
  <c r="B26" i="2"/>
  <c r="B27" i="2"/>
  <c r="B2" i="2"/>
</calcChain>
</file>

<file path=xl/sharedStrings.xml><?xml version="1.0" encoding="utf-8"?>
<sst xmlns="http://schemas.openxmlformats.org/spreadsheetml/2006/main" count="1123" uniqueCount="674">
  <si>
    <t>Bug ID</t>
    <phoneticPr fontId="1" type="noConversion"/>
  </si>
  <si>
    <t>[A J][Sanhok] LOD issue occurs with the big pot</t>
  </si>
  <si>
    <t>[Sanhok] Ocean's surface close to screen’s edge is darkened</t>
  </si>
  <si>
    <t>[AJ][Sanhok] Stairs does not touch with the ground.</t>
  </si>
  <si>
    <t>[AJ][Sanhok] Empty hole should be covered</t>
  </si>
  <si>
    <t>[AJ][Sanhok] Two barrels are clipped into the wall and ground</t>
  </si>
  <si>
    <t>[AJ][Sanhok] A wood plank's top is clipped into the wall</t>
  </si>
  <si>
    <t>[AJ][Sanhok] LOD issue occurs with one tree</t>
  </si>
  <si>
    <t>[AJ][Sanhok] One Rock Texture is of low resolution has defective lines</t>
  </si>
  <si>
    <t>[AJ][Sanhok] Animated Grass is Clipped out of one rock</t>
  </si>
  <si>
    <t>[AJ][Sanhok] Animated Grass is Clipped with one rock</t>
  </si>
  <si>
    <t>[AJ][Sanhok] Rock has blurry texture and grass clipping through it</t>
  </si>
  <si>
    <t>[AJ][Sanhok]Animated Grass is Clipping out of Cement Road Surface</t>
  </si>
  <si>
    <t>[A J][Sanhok] Grass cut through with wood pile</t>
  </si>
  <si>
    <t>[A J][Sanhok] Grass cut through with house ladder</t>
  </si>
  <si>
    <t>[A J][Sanhok] Can't crawl under the house smoothly if on the wood pile</t>
  </si>
  <si>
    <t>[A J][Sanhok] Character floating at the top of the food steamer</t>
  </si>
  <si>
    <t>[A J][Sanhok] Character floating at the edge of the abandon car’s cockpit</t>
  </si>
  <si>
    <t>[A J][Sanhok] House ladder cut into terrain 2</t>
  </si>
  <si>
    <t>[A J][Sanhok] The hand of character climb animation not fit with big pot</t>
  </si>
  <si>
    <t>[A J][Sanhok] House ladder cut into terrain 1</t>
  </si>
  <si>
    <t>[A J][Sanhok] The falling pot cut through with terrain 2</t>
  </si>
  <si>
    <t>[AJ][Sanhok] The collision of plastic bag may bump player's movement in intense combat</t>
  </si>
  <si>
    <t>[A J][Sanhok] The Tree cut through in the rock</t>
  </si>
  <si>
    <t>[A J][Sanhok] The falling pot cut through with terrain 1</t>
  </si>
  <si>
    <t>[AJ][Sanhok]Grass is clipping out of rocks along the cliff edge</t>
  </si>
  <si>
    <t>[A J][Sanhok] Window frame cut through with bumped house wall</t>
  </si>
  <si>
    <t>[A J][Sanhok] Less detail of window frame</t>
  </si>
  <si>
    <t>[A J][Sanhok] Low resolution palm branch</t>
  </si>
  <si>
    <t>[A,K][Sanhok] Character's body has clipping issue when crawling under the bridge.</t>
  </si>
  <si>
    <t>[C,I][Miramar] The mountain texture corrupt</t>
  </si>
  <si>
    <t>[AK][Sanhok] LOD issue occurs with one tree</t>
    <phoneticPr fontId="1" type="noConversion"/>
  </si>
  <si>
    <t>Summary</t>
    <phoneticPr fontId="1" type="noConversion"/>
  </si>
  <si>
    <t>Description</t>
    <phoneticPr fontId="1" type="noConversion"/>
  </si>
  <si>
    <t xml:space="preserve">When player approaches the small hut, the roof of the hut suddenly transfroms.
*Location:*
Admin MovePlayer 82507.24 132434.70 3159.12 0 343.35 356.08 0.00
*Expected Results:*
This LOD issue should be fixed  </t>
    <phoneticPr fontId="1" type="noConversion"/>
  </si>
  <si>
    <t>[AJ][Sanhok] Grass is clipping through wood blocks</t>
    <phoneticPr fontId="1" type="noConversion"/>
  </si>
  <si>
    <t>Wood blocks are placed over grass and the grass is clipping through.
*Location:*
Admin MovePlayer 96950.91 142195.75 5378.89 0 342.44 60.51 0.00
Admin MovePlayer 97043.66 142656.36 5505.83 0 344.74 41.87 0.00
*Expected Results:*
This clipping issue should be fixed.</t>
    <phoneticPr fontId="1" type="noConversion"/>
  </si>
  <si>
    <t>[AJ][Sanhok] Hand rail clipping into ground</t>
    <phoneticPr fontId="1" type="noConversion"/>
  </si>
  <si>
    <t>[AJ][Sanhok] Leaves clipping into ground and wall</t>
    <phoneticPr fontId="1" type="noConversion"/>
  </si>
  <si>
    <t>[AJ][Sanhok] Bicycle is clipped with building</t>
    <phoneticPr fontId="1" type="noConversion"/>
  </si>
  <si>
    <t>[AJ][Sanhok] Plough is clipped with building</t>
    <phoneticPr fontId="1" type="noConversion"/>
  </si>
  <si>
    <t>[AJ][Sanhok] Grass is clipped with rocks</t>
    <phoneticPr fontId="1" type="noConversion"/>
  </si>
  <si>
    <t xml:space="preserve">When player approaches the small wood building, the appreance of the building transfroms.
*Location:*
Admin MovePlayer 91316.57 163345.44 1563.72 0 2.45 91.00 0.00
*Expected Results:*
This LOD issue should be fixed  </t>
    <phoneticPr fontId="1" type="noConversion"/>
  </si>
  <si>
    <t>[AJ][Sanhok] LOD issue occurs on one small hut</t>
    <phoneticPr fontId="1" type="noConversion"/>
  </si>
  <si>
    <t>Grass is clipped with the box and wood block on ground.
*Location:*
Admin MovePlayer 81834.06 192451.58 501.07 0 310.42 106.00 0.00
*Expected Results:*
This clipping issue should be fixed.</t>
    <phoneticPr fontId="1" type="noConversion"/>
  </si>
  <si>
    <t>[AJ][Sanhok] Grass is clipped with red tool box and wood block</t>
    <phoneticPr fontId="1" type="noConversion"/>
  </si>
  <si>
    <t>[AK][Sanhok] Grass is clipping through wood blocks</t>
    <phoneticPr fontId="1" type="noConversion"/>
  </si>
  <si>
    <t>Wood blocks are placed over grass and the grass is clipping through.
*Location:*
Admin MovePlayer 89135.87 204393.64 328.66 0 356.74 68.11 0.00
*Expected Results:*
This clipping issue should be fixed.</t>
    <phoneticPr fontId="1" type="noConversion"/>
  </si>
  <si>
    <t>[AJ][Sanhok] LOD issue occurs on palm tree</t>
  </si>
  <si>
    <t>[AJ][Sanhok] Burning car does not match fire VFX visually</t>
    <phoneticPr fontId="1" type="noConversion"/>
  </si>
  <si>
    <t xml:space="preserve">The car's visual is disconnected with the fire VFX. The car has a fire burning effect on engine hood, however, the car itself does not have any burning mark and the engine hood is intact. 
*Location:*
Admin MovePlayer 85820.76 200092.45 371.41 0 354.49 187.91 0.00
*Expected Results:*
This visual discrepency issue should be fixed. Suggest to have the engine hood removed or broken to give reason for fire emmision, also add darkening effect to the car texture around buring area.
</t>
    <phoneticPr fontId="1" type="noConversion"/>
  </si>
  <si>
    <t>[AJ][Sanhok] Trash bag is clipped inside wall</t>
    <phoneticPr fontId="1" type="noConversion"/>
  </si>
  <si>
    <t xml:space="preserve">Trash bag is clipped inside wall.
*Location:*
Admin MovePlayer 85109.94 200902.41 461.10 0 354.01 286.77 0.00
*Expected Results:*
This clipping issue should be fixed  
</t>
    <phoneticPr fontId="1" type="noConversion"/>
  </si>
  <si>
    <t xml:space="preserve">When player approaches the palm tree, the tree suddenly transfroms.
*Location:*
Admin MovePlayer 87514.73 198446.52 404.11 0 4.87 127.52 0.00
*Expected Results:*
This LOD issue should be fixed  </t>
    <phoneticPr fontId="1" type="noConversion"/>
  </si>
  <si>
    <t xml:space="preserve">When player approaches the palm tree, the tree suddenly transfroms.
*Location:*
Admin MovePlayer 65508.05 184819.09 2305.44 0 343.92 85.50 0.00
*Expected Results:*
This LOD issue should be fixed  </t>
    <phoneticPr fontId="1" type="noConversion"/>
  </si>
  <si>
    <t xml:space="preserve">When player approaches the palm tree, the tree suddenly transfroms.
*Location:*
Admin MovePlayer 78379.09 199193.09 862.87 0 22.84 213.09 0.00
*Expected Results:*
This LOD issue should be fixed  </t>
    <phoneticPr fontId="1" type="noConversion"/>
  </si>
  <si>
    <t>Grass is clipped with cement blocks
*Location:*
Admin MovePlayer 74215.33 174800.05 629.22 0 321.97 288.58 0.00
Admin MovePlayer 75073.80 174870.91 738.46 0 310.55 209.24 0.00
Admin MovePlayer 76008.21 174665.25 629.22 0 337.50 138.11 0.00
Admin MovePlayer 76102.80 174498.44 629.22 0 329.70 87.67 0.00
Admin MovePlayer 76562.80 174364.94 629.22 0 333.95 199.81 0.00
*Expected Results:*
This clipping issue should be fixed.</t>
    <phoneticPr fontId="1" type="noConversion"/>
  </si>
  <si>
    <t>[AJ][Sanhok] Grass is clipped with concrete barriers and barrels</t>
    <phoneticPr fontId="1" type="noConversion"/>
  </si>
  <si>
    <t>[AJ][Sanhok] Gasoline can on rooftop has no shadow</t>
    <phoneticPr fontId="1" type="noConversion"/>
  </si>
  <si>
    <t xml:space="preserve">Gasoline can on rooftop has no shadow so it looks weird.
*Location:*
Admin MovePlayer 78106.58 161464.19 1466.56 0 334.95 199.25 0.00
*Expected Results:*
This item should have visible shadow.
</t>
    <phoneticPr fontId="1" type="noConversion"/>
  </si>
  <si>
    <t>[AJ][Sanhok] Wood plank is clipped with wall</t>
    <phoneticPr fontId="1" type="noConversion"/>
  </si>
  <si>
    <t xml:space="preserve">Wood plank is clipped with wall.
*Location:*
Admin MovePlayer 78986.86 160502.44 1110.15 0 11.12 35.61 0.00
*Expected Results:*
This clipping issue should be fixed  
</t>
    <phoneticPr fontId="1" type="noConversion"/>
  </si>
  <si>
    <t xml:space="preserve">Wood plank is clipped with wall.
*Location:*
Admin MovePlayer 78022.41 161424.38 1116.56 0 6.72 303.07 0.00
*Expected Results:*
This clipping issue should be fixed  
</t>
    <phoneticPr fontId="1" type="noConversion"/>
  </si>
  <si>
    <t xml:space="preserve">Wood plank is clipped with wall.
*Location:*
Admin MovePlayer 82740.05 159944.94 1109.21 0 357.80 17.50 0.00
*Expected Results:*
This clipping issue should be fixed  
</t>
    <phoneticPr fontId="1" type="noConversion"/>
  </si>
  <si>
    <t xml:space="preserve">Wood plank is clipped with wall.
*Location:*
Admin MovePlayer 84510.68 163850.59 1117.29 0 17.46 112.84 0.00
*Expected Results:*
This clipping issue should be fixed  
</t>
    <phoneticPr fontId="1" type="noConversion"/>
  </si>
  <si>
    <t xml:space="preserve">Wood plank is clipped with wall.
*Location:*
Admin MovePlayer 82605.30 164193.63 1122.10 0 10.91 314.96 0.00
*Expected Results:*
This clipping issue should be fixed  
</t>
    <phoneticPr fontId="1" type="noConversion"/>
  </si>
  <si>
    <t>[AJ][Sanhok] Asymmetry border on notice panel</t>
    <phoneticPr fontId="1" type="noConversion"/>
  </si>
  <si>
    <t xml:space="preserve">The left and right side of the "Collective Marksmanship" notice board does not match.
*Location:*
Admin MovePlayer 83469.76 163351.09 1081.56 0 3.98 5.57 0.00
*Expected Results:*
This border issue should be fixed. Sugges to extent the mesh on the right side.
</t>
    <phoneticPr fontId="1" type="noConversion"/>
  </si>
  <si>
    <t xml:space="preserve">Wood plank is clipped with wall.
*Location:*
Admin MovePlayer 76150.91 166556.19 1109.21 0 5.47 141.93 0.00
*Expected Results:*
This clipping issue should be fixed  
</t>
    <phoneticPr fontId="1" type="noConversion"/>
  </si>
  <si>
    <t>[AJ][Sanhok] Frame of painting is clipped with wall</t>
    <phoneticPr fontId="1" type="noConversion"/>
  </si>
  <si>
    <t xml:space="preserve">Frame of painting is clipped with wall
*Location:*
Admin MovePlayer 76510.02 166563.61 1109.21 0 334.15 355.40 0.00
*Expected Results:*
This clipping issue should be fixed  
</t>
    <phoneticPr fontId="1" type="noConversion"/>
  </si>
  <si>
    <t>[AJ][Sanhok] Bricks layout in 2 windows nearby are too identical</t>
    <phoneticPr fontId="1" type="noConversion"/>
  </si>
  <si>
    <t xml:space="preserve">The way these bricks are placed in these 2 windows nearby are too identical. It is too obvious for player that it's duplicated and breaks sense of immesion.
*Location:*
Admin MovePlayer 80191.35 166622.39 1081.56 0 0.46 294.45 0.00
*Expected Results:*
The bricks layout in windows in same view should be arranged differently.
</t>
    <phoneticPr fontId="1" type="noConversion"/>
  </si>
  <si>
    <t>Other blocked windows in the camp are filled with bricks. But this one windows does not. The texture used may confuse player to take it as a possible exit. It is better to keep consistency.
*Location:*
Admin MovePlayer 79925.58 165252.50 1108.40 0 358.35 291.87 0.00
*Expected Results:*
All blocked windows in same area should look alike.</t>
    <phoneticPr fontId="1" type="noConversion"/>
  </si>
  <si>
    <t>[AJ][Sanhok] Blocked window does not use brick texture as others</t>
    <phoneticPr fontId="1" type="noConversion"/>
  </si>
  <si>
    <t>ID</t>
    <phoneticPr fontId="1" type="noConversion"/>
  </si>
  <si>
    <t>[AJ][Sanhok] LOD issue occurs on one small hut</t>
    <phoneticPr fontId="1" type="noConversion"/>
  </si>
  <si>
    <t>https://jira.krafton.com/browse/PUBG-40956</t>
  </si>
  <si>
    <t>https://jira.krafton.com/browse/PUBG-40957</t>
  </si>
  <si>
    <t>The hand rail of the stair goes all the way into the ground and looks architecturally unrealistic.
*Location:*
Admin MovePlayer 97942.48 142929.19 5901.30 0 332.95 169.64 0.00
*Expected Results:*
The hand rail should be fixed so its extention stops above the first step of the stairs.</t>
    <phoneticPr fontId="1" type="noConversion"/>
  </si>
  <si>
    <t>https://jira.krafton.com/browse/PUBG-40958</t>
  </si>
  <si>
    <t>A bunch of leaves are cliipped with the ground and building wall.
*Location:*
Admin MovePlayer 90525.82 150775.14 1231.53 0 298.95 302.81 0.00
Admin MovePlayer 90624.27 150525.63 1252.55 0 306.63 87.92 0.00
*Expected Results:*
This clipping issue should be fixed.</t>
    <phoneticPr fontId="1" type="noConversion"/>
  </si>
  <si>
    <t>https://jira.krafton.com/browse/PUBG-40959</t>
  </si>
  <si>
    <t>Small part of the bicycle is clipped with the building.
*Location:*
Admin MovePlayer 90254.27 150593.45 1191.67 0 302.30 88.63 0.00
*Expected Results:*
This clipping issue should be fixed.</t>
    <phoneticPr fontId="1" type="noConversion"/>
  </si>
  <si>
    <t>https://jira.krafton.com/browse/PUBG-40960</t>
  </si>
  <si>
    <t xml:space="preserve">Part of the plough is clipped with the building 
*Location:*
Admin MovePlayer 89906.50 151397.56 1129.41 0 319.55 63.43 0.00
*Expected Results:*
This clipping issue should be fixed  
</t>
    <phoneticPr fontId="1" type="noConversion"/>
  </si>
  <si>
    <t>https://jira.krafton.com/browse/PUBG-40961</t>
  </si>
  <si>
    <t>https://jira.krafton.com/browse/PUBG-40962</t>
  </si>
  <si>
    <t>https://jira.krafton.com/browse/PUBG-40963</t>
  </si>
  <si>
    <t>https://jira.krafton.com/browse/PUBG-40964</t>
  </si>
  <si>
    <t>https://jira.krafton.com/browse/PUBG-40965</t>
  </si>
  <si>
    <t>https://jira.krafton.com/browse/PUBG-40966</t>
  </si>
  <si>
    <t>https://jira.krafton.com/browse/PUBG-40967</t>
  </si>
  <si>
    <t>https://jira.krafton.com/browse/PUBG-40968</t>
  </si>
  <si>
    <t>https://jira.krafton.com/browse/PUBG-40969</t>
  </si>
  <si>
    <t>https://jira.krafton.com/browse/PUBG-40970</t>
  </si>
  <si>
    <t>https://jira.krafton.com/browse/PUBG-40971</t>
  </si>
  <si>
    <t>https://jira.krafton.com/browse/PUBG-40972</t>
  </si>
  <si>
    <t>https://jira.krafton.com/browse/PUBG-40973</t>
  </si>
  <si>
    <t>https://jira.krafton.com/browse/PUBG-40974</t>
  </si>
  <si>
    <t>https://jira.krafton.com/browse/PUBG-40975</t>
  </si>
  <si>
    <t>https://jira.krafton.com/browse/PUBG-40976</t>
  </si>
  <si>
    <t>https://jira.krafton.com/browse/PUBG-40977</t>
  </si>
  <si>
    <t>https://jira.krafton.com/browse/PUBG-40978</t>
  </si>
  <si>
    <t>https://jira.krafton.com/browse/PUBG-40979</t>
  </si>
  <si>
    <t>https://jira.krafton.com/browse/PUBG-40980</t>
  </si>
  <si>
    <t>https://jira.krafton.com/browse/PUBG-40981</t>
  </si>
  <si>
    <t>Link</t>
    <phoneticPr fontId="1" type="noConversion"/>
  </si>
  <si>
    <t>ID2</t>
    <phoneticPr fontId="1" type="noConversion"/>
  </si>
  <si>
    <t>Real Link</t>
    <phoneticPr fontId="1" type="noConversion"/>
  </si>
  <si>
    <t>[AJ][Sanhok] LOD issue occurs on some barrels in Alpha Camp</t>
    <phoneticPr fontId="1" type="noConversion"/>
  </si>
  <si>
    <t xml:space="preserve">LOD issue occurs on barrels when player's distance to them changes.
*Location:*
01
Admin MovePlayer 79758.70 170745.34 1459.33 0 343.74 336.11 0.00
02
Admin MovePlayer 80044.22 162450.92 1472.30 0 345.29 108.53 0.00
*Expected Results:*
This LOD issue should be fixed  
</t>
    <phoneticPr fontId="1" type="noConversion"/>
  </si>
  <si>
    <t>[AJ][Sanhok] Flags on walls in Alpha Camp are clipped into shadows</t>
    <phoneticPr fontId="1" type="noConversion"/>
  </si>
  <si>
    <t xml:space="preserve">Flags on walls in Alpha Camp facing sun become black when they wave. It looks like it is cliped with shadow.
*Locations:*
01
Admin MovePlayer 80405.97 171927.06 1081.56 0 4.16 296.93 0.00
02
Admin MovePlayer 76984.73 171037.28 1081.56 0 33.61 291.28 0.00
03
Admin MovePlayer 75805.11 168143.33 1081.56 0 3.69 23.57 0.00
04
Admin MovePlayer 79036.67 166274.80 1808.40 0 347.49 350.83 0.00
05
Admin MovePlayer 78255.53 159554.58 1081.56 0 359.14 20.62 0.00
06
Admin MovePlayer 78715.00 161461.63 1364.84 0 6.14 12.92 0.00
07
Admin MovePlayer 82337.35 164070.47 1472.10 0 350.59 289.93 0.00
*Expected Results:*
This black flag issue should be fixed  
</t>
    <phoneticPr fontId="1" type="noConversion"/>
  </si>
  <si>
    <t>[AJ][Sanhok] Steel frame is clipped into wall</t>
    <phoneticPr fontId="1" type="noConversion"/>
  </si>
  <si>
    <t xml:space="preserve">Steel frame is clipped into wall
*Location:*
Admin MovePlayer 79254.73 167750.66 1081.56 0 338.25 356.85 0.00
*Expected Results:*
This clipping issue should be fixed  
</t>
    <phoneticPr fontId="1" type="noConversion"/>
  </si>
  <si>
    <t>[AJ][Sanhok] Painting frames are clipped with truck</t>
    <phoneticPr fontId="1" type="noConversion"/>
  </si>
  <si>
    <t>2 Paintings in the truck have frames clipped into truck's steel. One of them is floating.
*Location:*
Admin MovePlayer 83323.09 166137.70 1081.47 0 346.39 327.94 0.00
*Expected Results:*
This clipping issue should be fixed. Frames should not be floating in air.</t>
    <phoneticPr fontId="1" type="noConversion"/>
  </si>
  <si>
    <t>[AJ][Sanhok] LOD issue occurs inside back of green trucks</t>
    <phoneticPr fontId="1" type="noConversion"/>
  </si>
  <si>
    <t xml:space="preserve">LOD issue occurs inside back of green trucks
*Location:*
01
Admin MovePlayer 83027.67 161943.27 1471.96 0 340.64 10.52 0.00
02
Admin MovePlayer 80120.08 170628.16 1459.34 0 338.49 353.92 0.00
*Expected Results:*
This LOD issue should be fixed in all green trucks
</t>
    <phoneticPr fontId="1" type="noConversion"/>
  </si>
  <si>
    <t>[AJ][Sanhok] Black inner frames flick inside blocked windows</t>
    <phoneticPr fontId="1" type="noConversion"/>
  </si>
  <si>
    <t>1．关于版本：</t>
  </si>
  <si>
    <r>
      <t>a.</t>
    </r>
    <r>
      <rPr>
        <u/>
        <sz val="11"/>
        <color theme="10"/>
        <rFont val="宋体"/>
        <family val="3"/>
        <charset val="134"/>
        <scheme val="minor"/>
      </rPr>
      <t>    大家可以在  \\cnshasnas001\PUBG_Live_build 中拿到每天需要测试的版本。根据客户的说法版本是每天都需要更新的。如：2020.2.15.1</t>
    </r>
  </si>
  <si>
    <r>
      <t>b.</t>
    </r>
    <r>
      <rPr>
        <sz val="7"/>
        <color theme="1"/>
        <rFont val="Times New Roman"/>
        <family val="1"/>
      </rPr>
      <t xml:space="preserve">    </t>
    </r>
    <r>
      <rPr>
        <sz val="11"/>
        <color theme="1"/>
        <rFont val="微软雅黑"/>
        <family val="2"/>
        <charset val="134"/>
      </rPr>
      <t xml:space="preserve">拿到版本后，我们需要运行版本中的 </t>
    </r>
    <r>
      <rPr>
        <sz val="11"/>
        <color theme="1"/>
        <rFont val="Calibri"/>
        <family val="2"/>
      </rPr>
      <t xml:space="preserve">DedicatedServer_NoBattleEye_Airborne_JoinAny(Savage).bat </t>
    </r>
    <r>
      <rPr>
        <sz val="11"/>
        <color theme="1"/>
        <rFont val="微软雅黑"/>
        <family val="2"/>
        <charset val="134"/>
      </rPr>
      <t>来创建一个本地的服务器</t>
    </r>
  </si>
  <si>
    <r>
      <t>c.</t>
    </r>
    <r>
      <rPr>
        <sz val="7"/>
        <color theme="1"/>
        <rFont val="Times New Roman"/>
        <family val="1"/>
      </rPr>
      <t xml:space="preserve">    </t>
    </r>
    <r>
      <rPr>
        <sz val="11"/>
        <color theme="1"/>
        <rFont val="微软雅黑"/>
        <family val="2"/>
        <charset val="134"/>
      </rPr>
      <t>服务器启动后，我们需要运行</t>
    </r>
    <r>
      <rPr>
        <sz val="11"/>
        <color theme="1"/>
        <rFont val="Calibri"/>
        <family val="2"/>
      </rPr>
      <t>ClientLocal_NoBattleEye.bat</t>
    </r>
    <r>
      <rPr>
        <sz val="11"/>
        <color theme="1"/>
        <rFont val="微软雅黑"/>
        <family val="2"/>
        <charset val="134"/>
      </rPr>
      <t>文件来启动游戏。</t>
    </r>
  </si>
  <si>
    <t>进入游戏后，为了我们可以更方便的测试，游戏中可以调出控制台（按 “ ` ”键来调出控制台，“TAB”键上面那个键 ）来输入一些debug命令。</t>
  </si>
  <si>
    <t>以下是一些常用的debug功能：</t>
  </si>
  <si>
    <t>或者直接在键盘上按：</t>
  </si>
  <si>
    <t>Ctrl + Q  → 飞行模式。玩家可以腾空快速飞行。</t>
  </si>
  <si>
    <t>Ctrl + E  →  自动装配 M16</t>
  </si>
  <si>
    <t>，（键盘逗号）→ 开启全物品列表</t>
  </si>
  <si>
    <t>[AJ][Sanhok] Frames of paintings are clipped with wall</t>
    <phoneticPr fontId="1" type="noConversion"/>
  </si>
  <si>
    <t xml:space="preserve">Wood plank is clipped with wall.
*Location:*
Admin MovePlayer 81481.19 161859.88 1123.01 0 357.40 121.58 0.00
*Expected Results:*
This clipping issue should be fixed  
</t>
    <phoneticPr fontId="1" type="noConversion"/>
  </si>
  <si>
    <t xml:space="preserve">Frames of paintings are clipped with wall
*Location:*
Admin MovePlayer 79955.92 161805.17 1122.96 0 345.95 214.70 0.00
*Expected Results:*
This clipping issue should be fixed  
</t>
    <phoneticPr fontId="1" type="noConversion"/>
  </si>
  <si>
    <t xml:space="preserve">Black inner frame(?) flick inside blocked windows when player looks around
*Location:*
Admin MovePlayer 77338.02 163292.42 1081.56 0 4.83 144.55 0.00
*Expected Results:*
This flickering issue should be fixed  
</t>
    <phoneticPr fontId="1" type="noConversion"/>
  </si>
  <si>
    <t>            Admin PauseBlueZone 1 → 关闭蓝圈 （为了让大家可以在一次启动游戏后长时间测试，而不用反复启动游戏，建议开启此功能）</t>
    <phoneticPr fontId="1" type="noConversion"/>
  </si>
  <si>
    <t>Admin PauseBlueZone 1</t>
  </si>
  <si>
    <r>
      <t xml:space="preserve">            Copydebuginfo </t>
    </r>
    <r>
      <rPr>
        <sz val="11"/>
        <color theme="1"/>
        <rFont val="Calibri"/>
        <family val="2"/>
      </rPr>
      <t> </t>
    </r>
    <r>
      <rPr>
        <sz val="11"/>
        <color theme="1"/>
        <rFont val="宋体"/>
        <family val="3"/>
        <charset val="134"/>
      </rPr>
      <t>→</t>
    </r>
    <r>
      <rPr>
        <sz val="11"/>
        <color theme="1"/>
        <rFont val="Calibri"/>
        <family val="2"/>
      </rPr>
      <t xml:space="preserve">  </t>
    </r>
    <r>
      <rPr>
        <sz val="11"/>
        <color theme="1"/>
        <rFont val="微软雅黑"/>
        <family val="2"/>
        <charset val="134"/>
      </rPr>
      <t>复制问题发生时的坐标信息。</t>
    </r>
    <phoneticPr fontId="1" type="noConversion"/>
  </si>
  <si>
    <t>Copydebuginfo</t>
    <phoneticPr fontId="1" type="noConversion"/>
  </si>
  <si>
    <t>b.TeleportMode 1  →  开启此功能后，按M键打开地图，右键点击地图上的任意位置就会传送过去。</t>
    <phoneticPr fontId="1" type="noConversion"/>
  </si>
  <si>
    <t>b.TeleportMode 1</t>
    <phoneticPr fontId="1" type="noConversion"/>
  </si>
  <si>
    <r>
      <t xml:space="preserve">HideTslDebugInformation </t>
    </r>
    <r>
      <rPr>
        <sz val="11"/>
        <color theme="1"/>
        <rFont val="宋体"/>
        <family val="3"/>
        <charset val="134"/>
      </rPr>
      <t>→</t>
    </r>
    <r>
      <rPr>
        <sz val="11"/>
        <color theme="1"/>
        <rFont val="微软雅黑"/>
        <family val="2"/>
        <charset val="134"/>
      </rPr>
      <t xml:space="preserve"> 隐藏屏幕上部的debugging信息</t>
    </r>
    <phoneticPr fontId="1" type="noConversion"/>
  </si>
  <si>
    <t>HideTslDebugInformation</t>
    <phoneticPr fontId="1" type="noConversion"/>
  </si>
  <si>
    <t>Ctrl + R  →  无敌模式。人物生命值不会下降。 （开启此功能后人物脚边会有一圈光圈，觉得被特效干扰到的同事可以 打开控制台 输入 “Admin VisibleInvulnerablilityEffect 0”）</t>
    <phoneticPr fontId="1" type="noConversion"/>
  </si>
  <si>
    <t>Admin VisibleInvulnerablilityEffect 0</t>
    <phoneticPr fontId="1" type="noConversion"/>
  </si>
  <si>
    <t>https://jira.krafton.com/browse/PUBG-41121</t>
  </si>
  <si>
    <t>https://jira.krafton.com/browse/PUBG-41122</t>
  </si>
  <si>
    <t>https://jira.krafton.com/browse/PUBG-41123</t>
  </si>
  <si>
    <t>https://jira.krafton.com/browse/PUBG-41124</t>
  </si>
  <si>
    <t>https://jira.krafton.com/browse/PUBG-41125</t>
  </si>
  <si>
    <t>https://jira.krafton.com/browse/PUBG-41126</t>
  </si>
  <si>
    <t>https://jira.krafton.com/browse/PUBG-41127</t>
  </si>
  <si>
    <t>https://jira.krafton.com/browse/PUBG-41128</t>
  </si>
  <si>
    <t>https://jira.krafton.com/browse/PUBG-40701</t>
    <phoneticPr fontId="1" type="noConversion"/>
  </si>
  <si>
    <t>[AJ][Sanhok]Animated Grass is Clipping out of Cement Road Surface</t>
    <phoneticPr fontId="1" type="noConversion"/>
  </si>
  <si>
    <t>[AJ][Sanhok]Rock has blurry texture and grass clipping through it</t>
    <phoneticPr fontId="1" type="noConversion"/>
  </si>
  <si>
    <t>https://jira.krafton.com/browse/PUBG-40702</t>
    <phoneticPr fontId="1" type="noConversion"/>
  </si>
  <si>
    <t>[AJ][Sanhok] Animated Grass is Clipping out of the rock</t>
    <phoneticPr fontId="1" type="noConversion"/>
  </si>
  <si>
    <t>https://jira.krafton.com/browse/PUBG-40704</t>
    <phoneticPr fontId="1" type="noConversion"/>
  </si>
  <si>
    <t>https://jira.krafton.com/browse/PUBG-40705</t>
    <phoneticPr fontId="1" type="noConversion"/>
  </si>
  <si>
    <t>https://jira.krafton.com/browse/PUBG-40707</t>
    <phoneticPr fontId="1" type="noConversion"/>
  </si>
  <si>
    <t>[AJ][Sanhok]Rock Texture is of low resolution has defective lines</t>
    <phoneticPr fontId="1" type="noConversion"/>
  </si>
  <si>
    <t>https://jira.krafton.com/browse/PUBG-40708</t>
    <phoneticPr fontId="1" type="noConversion"/>
  </si>
  <si>
    <t>[AJ][Sanhok]LOD issue occurs with one tree</t>
    <phoneticPr fontId="1" type="noConversion"/>
  </si>
  <si>
    <t>https://jira.krafton.com/browse/PUBG-40709</t>
    <phoneticPr fontId="1" type="noConversion"/>
  </si>
  <si>
    <t>https://jira.krafton.com/browse/PUBG-40710</t>
    <phoneticPr fontId="1" type="noConversion"/>
  </si>
  <si>
    <t>[AJ][Sanhok] A wood plank is clipped into the wall</t>
    <phoneticPr fontId="1" type="noConversion"/>
  </si>
  <si>
    <t>https://jira.krafton.com/browse/PUBG-40712</t>
    <phoneticPr fontId="1" type="noConversion"/>
  </si>
  <si>
    <t>[AJ][Sanhok] Two barrels are clipped into the wall and ground</t>
    <phoneticPr fontId="1" type="noConversion"/>
  </si>
  <si>
    <t>https://jira.krafton.com/browse/PUBG-40713</t>
    <phoneticPr fontId="1" type="noConversion"/>
  </si>
  <si>
    <t>[AJ][Sanhok] Empty hole has invisible collision</t>
    <phoneticPr fontId="1" type="noConversion"/>
  </si>
  <si>
    <t>https://jira.krafton.com/browse/PUBG-40714</t>
    <phoneticPr fontId="1" type="noConversion"/>
  </si>
  <si>
    <t>[AJ][Sanhok] Stairs are not touching the ground</t>
    <phoneticPr fontId="1" type="noConversion"/>
  </si>
  <si>
    <t>https://jira.krafton.com/browse/PUBG-40717</t>
    <phoneticPr fontId="1" type="noConversion"/>
  </si>
  <si>
    <t>[AJ][Sanhok] Water surface close to screen’s edge is darkened</t>
    <phoneticPr fontId="1" type="noConversion"/>
  </si>
  <si>
    <t>[AJ][Sanhok] Different types of grass have inconsistent shadow visuals</t>
    <phoneticPr fontId="1" type="noConversion"/>
  </si>
  <si>
    <t xml:space="preserve">In clear weather, the shadow of different types of grass behave differently.
1.Some shadow strangly transforms from soft to very hard when player move closer.
2. Some grass has no shadow at all.
*Location:*
1. Soft/Hard Shadow
Admin MovePlayer 69321.91 167023.73 823.34 0 326.62 120.11 0.00
2. grass with no shadow beside grass with shadow
Admin MovePlayer 69383.66 165884.14 858.58 0 337.37 109.41 0.00
*Expected Results:*
This shadow of different grass should be consistent.
</t>
    <phoneticPr fontId="1" type="noConversion"/>
  </si>
  <si>
    <t>https://jira.krafton.com/browse/PUBG-41159</t>
  </si>
  <si>
    <t>Color(Coordinate)</t>
  </si>
  <si>
    <t>Name</t>
  </si>
  <si>
    <t>Purple (AI, BI, AK)</t>
  </si>
  <si>
    <t>Wang Zhengwen</t>
  </si>
  <si>
    <t>Red(AJ)</t>
  </si>
  <si>
    <t>Tao Yihong &amp; Shi Songhua</t>
  </si>
  <si>
    <t>Blue(BJ)</t>
  </si>
  <si>
    <t>Lu Yifeng &amp; Zhang Jingyi</t>
  </si>
  <si>
    <t>Yellow(BK)</t>
  </si>
  <si>
    <t>Cliff Chiu &amp; Jason Spencer</t>
  </si>
  <si>
    <t>Wang Zhengwen, Harvey</t>
  </si>
  <si>
    <t>[AJ][Sanhok] LOD issue occurs on house roof</t>
    <phoneticPr fontId="1" type="noConversion"/>
  </si>
  <si>
    <t xml:space="preserve">The house roof transform from black to white when player moves closer to it.
*Location:*
Admin MovePlayer 78795.20 160222.22 1460.15 0 358.19 327.00 0.00
*Expected Results:*
This LOD issue should be fixed  
</t>
    <phoneticPr fontId="1" type="noConversion"/>
  </si>
  <si>
    <t>[AJ][Sanhok] Frame is clipped with wall and floor</t>
    <phoneticPr fontId="1" type="noConversion"/>
  </si>
  <si>
    <t xml:space="preserve">Frame is clipped with wall and floor
*Location:*
Admin MovePlayer 82275.45 156737.59 651.19 0 341.05 177.34 0.00
*Expected Results:*
This clipping issue should be fixed  
</t>
    <phoneticPr fontId="1" type="noConversion"/>
  </si>
  <si>
    <t>[AJ][Sanhok] Trolley is clipped with ground and wall</t>
    <phoneticPr fontId="1" type="noConversion"/>
  </si>
  <si>
    <t xml:space="preserve">Trolley is clipped with ground and wall
*Location:*
Admin MovePlayer 93667.88 159499.69 1802.10 0 346.49 131.20 0.00
*Expected Results:*
This clipping issue should be fixed  
</t>
    <phoneticPr fontId="1" type="noConversion"/>
  </si>
  <si>
    <t>[AJ][Sanhok] Concrete barrier is clipped with grass and barrels</t>
    <phoneticPr fontId="1" type="noConversion"/>
  </si>
  <si>
    <t xml:space="preserve">Concrete barrier is clipped with grass and barrels
*Location:*
Admin MovePlayer 79497.61 176553.75 629.21 0 308.34 10.58 0.00
Admin MovePlayer 79665.60 176653.02 733.59 0 296.84 283.95 0.00
*Expected Results:*
This clipping issue should be fixed  
</t>
    <phoneticPr fontId="1" type="noConversion"/>
  </si>
  <si>
    <t>[AJ][Sanhok] Barrel is clipped with concrete object</t>
    <phoneticPr fontId="1" type="noConversion"/>
  </si>
  <si>
    <t xml:space="preserve">Barrel is clipped with concrete object
*Location:*
Admin MovePlayer 77848.50 174537.30 629.18 0 329.40 0.59 0.00
*Expected Results:*
This clipping issue should be fixed  
</t>
    <phoneticPr fontId="1" type="noConversion"/>
  </si>
  <si>
    <t>[AJ][Sanhok] Concrete object has invisible collision</t>
    <phoneticPr fontId="1" type="noConversion"/>
  </si>
  <si>
    <t xml:space="preserve">The giant concrete objects around Camp Alpha can form opening with ground, however player is not able to crawl through all of them. It may confuse player.
*7 Locations:*
Admin MovePlayer 70749.88 172427.73 650.48 0 327.82 320.79 0.00
Admin MovePlayer 80738.30 157935.20 749.82 0 358.79 157.35 0.00
Admin MovePlayer 85250.92 158194.34 629.21 0 337.20 9.36 0.00
Admin MovePlayer 86269.61 162822.63 888.62 0 323.29 344.13 0.00
Admin MovePlayer 86942.34 165917.41 629.21 0 348.75 272.27 0.00
Admin MovePlayer 85449.90 169687.28 629.21 0 342.88 32.75 0.00
Admin MovePlayer 84210.45 170378.70 691.95 0 340.53 131.36 0.00
*Expected Results:*
This collision in the opening should be removed to allow player to pass.
Or reduce the size of the opening to make it obvious that it not possible to pass.
</t>
    <phoneticPr fontId="1" type="noConversion"/>
  </si>
  <si>
    <t xml:space="preserve">Grass is clipped with rocks
*Location:*
Admin MovePlayer 95265.53 144084.80 4663.35 0 314.93 42.05 0.00
*Expected Results:*
This clipping issue should be fixed  
</t>
    <phoneticPr fontId="1" type="noConversion"/>
  </si>
  <si>
    <t xml:space="preserve">Visual glitch happen when player swim in 3rd person view and adjust camera direction. It looks like there are 2 layers of water surfaces.
*Location: anywhere in water* 
Admin MovePlayer 39283.87 167677.11 -58.85 0 7.61 48.44 0.00
*Expected Results:*
This glitch should be fixed when player swim in 3rd person view.
</t>
    <phoneticPr fontId="1" type="noConversion"/>
  </si>
  <si>
    <t>[Sanhok] Visual glitch occurs when player swim in 3rd person view</t>
    <phoneticPr fontId="1" type="noConversion"/>
  </si>
  <si>
    <t>[AJ][Sanhok] Door bolts are not visually functional and texture feels unreal</t>
    <phoneticPr fontId="1" type="noConversion"/>
  </si>
  <si>
    <t>Bolts on the doors seem are missing parts to be able to lock the door so it feels fake. 
Also the grey metal texture of the bolt dosen't match with the rusty base.
The issue occurs on both single-doors and double-doors
*Location:*
bolt on single-door
Admin MovePlayer 82817.98 194677.52 545.61 0 340.65 303.60 0.00
bolt on double=door
Admin MovePlayer 89662.76 201506.30 464.64 0 339.60 194.67 0.00
*Expected Results:*
Add small parts on the door and door frame to make the bolt feel real. (see reference)
Single-door and double-door should setup differently.
Add rusty feel to the bolt metal texture so it blends in with he base part.</t>
    <phoneticPr fontId="1" type="noConversion"/>
  </si>
  <si>
    <t>https://jira.krafton.com/browse/PUBG-41372</t>
  </si>
  <si>
    <t>[AJ][Sanhok] Highlight on room beam is not centered around light bulb</t>
    <phoneticPr fontId="1" type="noConversion"/>
  </si>
  <si>
    <t xml:space="preserve">Highlight on room beam is not centered around light bubble.
*Location:*
Admin MovePlayer 80770.68 182640.80 702.42 0 22.96 288.41 0.00
Similar houses in the map have same issue.
*Expected Results:*
This highlight area issue should be centered around light bulb.
</t>
    <phoneticPr fontId="1" type="noConversion"/>
  </si>
  <si>
    <t>https://jira.krafton.com/browse/PUBG-41373</t>
  </si>
  <si>
    <t>https://jira.krafton.com/browse/PUBG-41374</t>
  </si>
  <si>
    <t>https://jira.krafton.com/browse/PUBG-41375</t>
  </si>
  <si>
    <t>https://jira.krafton.com/browse/PUBG-41376</t>
  </si>
  <si>
    <t>https://jira.krafton.com/browse/PUBG-41377</t>
  </si>
  <si>
    <t>https://jira.krafton.com/browse/PUBG-41378</t>
  </si>
  <si>
    <t>https://jira.krafton.com/browse/PUBG-41379</t>
  </si>
  <si>
    <t>https://jira.krafton.com/browse/PUBG-41380</t>
  </si>
  <si>
    <t>https://jira.krafton.com/browse/PUBG-41382</t>
  </si>
  <si>
    <t>Tester</t>
  </si>
  <si>
    <t>Blue(CI, DI)</t>
  </si>
  <si>
    <t>Wang Zhengwen &amp; Harvey</t>
  </si>
  <si>
    <t>Orange (CJ, DJ)</t>
  </si>
  <si>
    <t>Yellow(CK, DK)</t>
  </si>
  <si>
    <t>Green(CL, DL)</t>
  </si>
  <si>
    <t>Desc</t>
    <phoneticPr fontId="1" type="noConversion"/>
  </si>
  <si>
    <t>Loc</t>
    <phoneticPr fontId="1" type="noConversion"/>
  </si>
  <si>
    <t>Expected</t>
    <phoneticPr fontId="1" type="noConversion"/>
  </si>
  <si>
    <t>Some palm trees are strangly shorter than others with leaves touching ground.</t>
    <phoneticPr fontId="1" type="noConversion"/>
  </si>
  <si>
    <t>Admin MovePlayer 314747.59 151303.91 1452.03 0 310.13 130.31 0.00</t>
    <phoneticPr fontId="1" type="noConversion"/>
  </si>
  <si>
    <t>Admin MovePlayer 313867.44 151262.64 1378.44 0 343.51 80.00 0.00</t>
    <phoneticPr fontId="1" type="noConversion"/>
  </si>
  <si>
    <t>Admin MovePlayer 314747.59 151303.91 1452.03 0 310.13 130.31 0.00
Admin MovePlayer 369809.25 133876.97 460.15 0 346.75 274.53 0.00</t>
    <phoneticPr fontId="1" type="noConversion"/>
  </si>
  <si>
    <t>[DJ][Sanhok] Water spray effect happen on calm water besides rocks</t>
    <phoneticPr fontId="1" type="noConversion"/>
  </si>
  <si>
    <t>Admin MovePlayer 368133.06 117997.63 234.01 0 314.01 308.30 0.00</t>
  </si>
  <si>
    <t>Admin MovePlayer 365820.13 114257.28 199.09 0 315.25 31.37 0.00</t>
  </si>
  <si>
    <t>[DJ][Sanhok] Red box has not bullet hole decals when shot</t>
    <phoneticPr fontId="1" type="noConversion"/>
  </si>
  <si>
    <t>[DJ][Sanhok] Bamboo sheet on wall has no bullet hole decals when shot</t>
    <phoneticPr fontId="1" type="noConversion"/>
  </si>
  <si>
    <t>[DJ][Sanhok] Blue plastic barrel has not bullet hole decals when shot</t>
    <phoneticPr fontId="1" type="noConversion"/>
  </si>
  <si>
    <t>[DJ][Sanhok] Blue box has no bullet hole decals when shot</t>
    <phoneticPr fontId="1" type="noConversion"/>
  </si>
  <si>
    <t>Admin MovePlayer 364853.38 113016.69 266.31 0 318.62 298.46 0.00</t>
    <phoneticPr fontId="1" type="noConversion"/>
  </si>
  <si>
    <t>[DJ][Sanhok] Blue basket has no bullet hole decals when shot</t>
    <phoneticPr fontId="1" type="noConversion"/>
  </si>
  <si>
    <t>[DJ][Sanhok] Rectangle pink table plate has no bullet hole decals when shot</t>
    <phoneticPr fontId="1" type="noConversion"/>
  </si>
  <si>
    <t>[DJ][Sanhok] Rectangle pink table plate is clipped with table</t>
    <phoneticPr fontId="1" type="noConversion"/>
  </si>
  <si>
    <t>The clipping issue should be fixed</t>
  </si>
  <si>
    <t>The clipping issue should be fixed</t>
    <phoneticPr fontId="1" type="noConversion"/>
  </si>
  <si>
    <t>The LOD issue should be fixed</t>
    <phoneticPr fontId="1" type="noConversion"/>
  </si>
  <si>
    <t>The Texture issue should be fixed</t>
    <phoneticPr fontId="1" type="noConversion"/>
  </si>
  <si>
    <t>The item should have proper decals when shot at</t>
  </si>
  <si>
    <t>The item should have proper decals when shot at</t>
    <phoneticPr fontId="1" type="noConversion"/>
  </si>
  <si>
    <t>Admin MovePlayer 313179.50 152118.03 1378.44 0 318.09 181.36 0.00
Admin MovePlayer 364970.75 112747.12 224.27 0 326.07 199.39 0.00</t>
    <phoneticPr fontId="1" type="noConversion"/>
  </si>
  <si>
    <t>The palm tress shall be at reasonable heights. Shorter trees shall have smaller palms.</t>
    <phoneticPr fontId="1" type="noConversion"/>
  </si>
  <si>
    <t>The water spray effect should be removed or polished to be natural.</t>
    <phoneticPr fontId="1" type="noConversion"/>
  </si>
  <si>
    <t>Admin MovePlayer 364642.25 112682.17 268.95 0 311.98 312.70 0.00</t>
  </si>
  <si>
    <t>[DJ][Sanhok] Red bucket has no bullet hole decals when shot</t>
    <phoneticPr fontId="1" type="noConversion"/>
  </si>
  <si>
    <t>Admin MovePlayer 364663.91 112662.79 267.29 0 312.59 312.65 0.00</t>
  </si>
  <si>
    <t>[DJ][Sanhok] Dirty cup with handle has no bullet hole decals when shot</t>
    <phoneticPr fontId="1" type="noConversion"/>
  </si>
  <si>
    <t>select expectation…</t>
    <phoneticPr fontId="1" type="noConversion"/>
  </si>
  <si>
    <t>[DJ][Sanhok] Blue top bottle has no bullet hole decals when shot</t>
    <phoneticPr fontId="1" type="noConversion"/>
  </si>
  <si>
    <t>Admin MovePlayer 366105.56 117395.38 269.96 0 317.00 141.29 0.00</t>
  </si>
  <si>
    <t>[DJ][Sanhok] Red and yellow flower pot has no bullet hole decals when shot</t>
    <phoneticPr fontId="1" type="noConversion"/>
  </si>
  <si>
    <t>[DJ][Sanhok] Grass is clipped with rocks</t>
    <phoneticPr fontId="1" type="noConversion"/>
  </si>
  <si>
    <t>Admin MovePlayer 364968.88 109963.48 238.41 0 6.00 215.33 0.00</t>
  </si>
  <si>
    <t>[DJ][Sanhok] Rock texture is of low resolution and looks corrupted</t>
    <phoneticPr fontId="1" type="noConversion"/>
  </si>
  <si>
    <t>The Texture issue should be fixed</t>
  </si>
  <si>
    <t>Admin MovePlayer 365408.75 119608.64 297.97 0 341.16 321.76 0.00</t>
  </si>
  <si>
    <t>[DJ][Sanhok] Blue pot with plant has no bullet hole decals when shot</t>
    <phoneticPr fontId="1" type="noConversion"/>
  </si>
  <si>
    <t>Admin MovePlayer 361029.84 116697.27 347.96 0 25.87 126.25 0.00</t>
  </si>
  <si>
    <t>Admin MovePlayer 363142.94 122136.19 297.99 0 331.84 52.08 0.00</t>
  </si>
  <si>
    <t>Admin MovePlayer 361164.97 120077.13 297.98 0 295.34 150.50 0.00</t>
  </si>
  <si>
    <t>[DJ][Sanhok] Grass is clipped with tree's base part</t>
    <phoneticPr fontId="1" type="noConversion"/>
  </si>
  <si>
    <t>[DJ][Sanhok]  Grass is clipped with plastic bucket</t>
    <phoneticPr fontId="1" type="noConversion"/>
  </si>
  <si>
    <t>Admin MovePlayer 362970.03 118676.20 297.84 0 310.70 119.39 0.00</t>
  </si>
  <si>
    <t>[DJ][Sanhok]  Grass is clipped with wood poles on ground</t>
    <phoneticPr fontId="1" type="noConversion"/>
  </si>
  <si>
    <t>Admin MovePlayer 360080.56 116421.57 269.96 0 340.44 339.52 0.00</t>
  </si>
  <si>
    <t>[DJ][Sanhok]  Grass is clipped with wood blocks under house</t>
    <phoneticPr fontId="1" type="noConversion"/>
  </si>
  <si>
    <t>Admin MovePlayer 359814.59 116272.03 269.96 0 322.84 185.29 0.00</t>
  </si>
  <si>
    <t>[DJ][Sanhok] Grass animation is unnatural</t>
    <phoneticPr fontId="1" type="noConversion"/>
  </si>
  <si>
    <t>Grass animation is not natural.
- One cluster of grass waves in different directions
- sometime one long grass bend in hard angles</t>
    <phoneticPr fontId="1" type="noConversion"/>
  </si>
  <si>
    <t>Admin MovePlayer 357123.56 114077.94 273.69 0 355.41 165.06 0.00</t>
  </si>
  <si>
    <t>[DJ][Sanhok] Rock texture is of low resolution and looks corrupted</t>
    <phoneticPr fontId="1" type="noConversion"/>
  </si>
  <si>
    <t>The animation should be fixed</t>
  </si>
  <si>
    <t>The animation should be fixed</t>
    <phoneticPr fontId="1" type="noConversion"/>
  </si>
  <si>
    <t>Admin MovePlayer 364988.38 110181.36 191.70 0 325.65 249.43 0.00
Admin MovePlayer 364536.63 109235.55 781.29 0 327.51 298.26 0.00</t>
    <phoneticPr fontId="1" type="noConversion"/>
  </si>
  <si>
    <t>Admin MovePlayer 364927.31 112686.20 253.35 0 308.50 152.42 0.00</t>
  </si>
  <si>
    <t>Admin MovePlayer 372672.81 121183.69 -65.35 0 0.66 156.54 0.00
Admin MovePlayer 366039.75 108524.48 -53.22 0 350.67 205.30 0.00</t>
    <phoneticPr fontId="1" type="noConversion"/>
  </si>
  <si>
    <t>Admin MovePlayer 365372.03 141731.75 887.04 0 18.99 211.63 0.00</t>
  </si>
  <si>
    <t>Admin MovePlayer 344291.72 146983.48 762.81 0 321.30 288.21 0.00</t>
  </si>
  <si>
    <t>Admin MovePlayer 334749.31 152645.92 762.86 0 332.90 53.89 0.00</t>
  </si>
  <si>
    <t>[DJ][Sanhok] Grass is clipped with concrete object merged under ground</t>
    <phoneticPr fontId="1" type="noConversion"/>
  </si>
  <si>
    <t>[DJ][Sanhok] Barrels are clipped with concrete object</t>
    <phoneticPr fontId="1" type="noConversion"/>
  </si>
  <si>
    <t>Admin MovePlayer 336339.78 156834.52 762.81 0 320.58 45.68 0.00</t>
  </si>
  <si>
    <t>Admin MovePlayer 343517.47 160871.41 762.81 0 336.82 177.81 0.00</t>
  </si>
  <si>
    <t>[DJ][Sanhok] Barrels are clipped with walls</t>
    <phoneticPr fontId="1" type="noConversion"/>
  </si>
  <si>
    <t>Admin MovePlayer 342886.88 154209.38 762.81 0 343.86 29.85 0.00</t>
  </si>
  <si>
    <t>Admin MovePlayer 369005.41 200742.22 505.00 0 328.54 330.43 0.00</t>
  </si>
  <si>
    <t>[DJ][Sanhok] White box has not bullet hole decals when shot</t>
    <phoneticPr fontId="1" type="noConversion"/>
  </si>
  <si>
    <t>Admin MovePlayer 371334.44 195616.00 466.92 0 317.20 114.30 0.00</t>
  </si>
  <si>
    <t>[DJ][Sanhok] Grass is clipped with tree's base part</t>
    <phoneticPr fontId="1" type="noConversion"/>
  </si>
  <si>
    <t>Date</t>
    <phoneticPr fontId="1" type="noConversion"/>
  </si>
  <si>
    <t>ID1</t>
    <phoneticPr fontId="1" type="noConversion"/>
  </si>
  <si>
    <t>Section</t>
    <phoneticPr fontId="1" type="noConversion"/>
  </si>
  <si>
    <t>https://jira.krafton.com/issues/?filter=-2</t>
    <phoneticPr fontId="1" type="noConversion"/>
  </si>
  <si>
    <t>JIRA Link</t>
    <phoneticPr fontId="1" type="noConversion"/>
  </si>
  <si>
    <t>https://jira.krafton.com/browse/PUBG-41551</t>
  </si>
  <si>
    <t>https://jira.krafton.com/browse/PUBG-41552</t>
  </si>
  <si>
    <t>https://jira.krafton.com/browse/PUBG-41553</t>
  </si>
  <si>
    <t>https://jira.krafton.com/browse/PUBG-41554</t>
  </si>
  <si>
    <t>https://jira.krafton.com/browse/PUBG-41555</t>
  </si>
  <si>
    <t>https://jira.krafton.com/browse/PUBG-41556</t>
  </si>
  <si>
    <t>https://jira.krafton.com/browse/PUBG-41557</t>
  </si>
  <si>
    <t>https://jira.krafton.com/browse/PUBG-41558</t>
  </si>
  <si>
    <t>https://jira.krafton.com/browse/PUBG-41559</t>
  </si>
  <si>
    <t>https://jira.krafton.com/browse/PUBG-41560</t>
  </si>
  <si>
    <t>https://jira.krafton.com/browse/PUBG-41561</t>
  </si>
  <si>
    <t>https://jira.krafton.com/browse/PUBG-41562</t>
  </si>
  <si>
    <t>https://jira.krafton.com/browse/PUBG-41563</t>
  </si>
  <si>
    <t>https://jira.krafton.com/browse/PUBG-41564</t>
  </si>
  <si>
    <t>https://jira.krafton.com/browse/PUBG-41565</t>
  </si>
  <si>
    <t>https://jira.krafton.com/browse/PUBG-41566</t>
  </si>
  <si>
    <t>https://jira.krafton.com/browse/PUBG-41568</t>
  </si>
  <si>
    <t>https://jira.krafton.com/browse/PUBG-41569</t>
  </si>
  <si>
    <t>https://jira.krafton.com/browse/PUBG-41570</t>
  </si>
  <si>
    <t>https://jira.krafton.com/browse/PUBG-41571</t>
  </si>
  <si>
    <t>https://jira.krafton.com/browse/PUBG-41572</t>
  </si>
  <si>
    <t>https://jira.krafton.com/browse/PUBG-41573</t>
  </si>
  <si>
    <t>https://jira.krafton.com/browse/PUBG-41574</t>
  </si>
  <si>
    <t>https://jira.krafton.com/browse/PUBG-41575</t>
  </si>
  <si>
    <t>https://jira.krafton.com/browse/PUBG-41576</t>
  </si>
  <si>
    <t>https://jira.krafton.com/browse/PUBG-41577</t>
  </si>
  <si>
    <t>https://jira.krafton.com/browse/PUBG-41578</t>
  </si>
  <si>
    <t>https://jira.krafton.com/browse/PUBG-41579</t>
  </si>
  <si>
    <t>https://jira.krafton.com/browse/PUBG-41580</t>
  </si>
  <si>
    <t>https://jira.krafton.com/browse/PUBG-41581</t>
  </si>
  <si>
    <t>Admin MovePlayer 327225.75 186592.08 4067.07 0 332.94 251.74 0.00</t>
  </si>
  <si>
    <t>[DJ][Sanhok] One target frame is clipped into wall and ground</t>
    <phoneticPr fontId="1" type="noConversion"/>
  </si>
  <si>
    <t>[DJ][Sanhok] One target frame is clipped into ground</t>
    <phoneticPr fontId="1" type="noConversion"/>
  </si>
  <si>
    <t>Admin MovePlayer 325929.66 186898.14 4067.07 0 334.43 343.47 0.00</t>
  </si>
  <si>
    <t>[DJ][Sanhok] Wwood crates are clipped into wall</t>
    <phoneticPr fontId="1" type="noConversion"/>
  </si>
  <si>
    <t>Admin MovePlayer 326777.31 189254.75 4067.07 0 358.57 89.80 0.00</t>
    <phoneticPr fontId="1" type="noConversion"/>
  </si>
  <si>
    <t>[DJ][Sanhok] Target stand is clipped into wall</t>
    <phoneticPr fontId="1" type="noConversion"/>
  </si>
  <si>
    <t>Admin MovePlayer 325546.44 182641.73 4003.27 0 8.61 149.31 0.00</t>
  </si>
  <si>
    <t>[DJ][Sanhok] Wood crate fall from truck is floating</t>
    <phoneticPr fontId="1" type="noConversion"/>
  </si>
  <si>
    <t>The floating issue should be fixed</t>
  </si>
  <si>
    <t>The floating issue should be fixed</t>
    <phoneticPr fontId="1" type="noConversion"/>
  </si>
  <si>
    <t>[DJ][Sanhok] 2 Target frames are clipped with each other</t>
    <phoneticPr fontId="1" type="noConversion"/>
  </si>
  <si>
    <t>Admin MovePlayer 322130.63 186851.20 4050.31 0 306.08 188.67 0.00</t>
  </si>
  <si>
    <t>Admin MovePlayer 319652.69 181427.78 4077.81 0 328.93 109.07 0.00</t>
  </si>
  <si>
    <t>[DJ][Sanhok] One target frame is clipped into wall</t>
    <phoneticPr fontId="1" type="noConversion"/>
  </si>
  <si>
    <t>Admin MovePlayer 327075.44 189745.69 4038.77 0 326.80 196.36 0.00
Admin MovePlayer 327197.03 189095.80 4045.51 0 318.30 224.51 0.00
Admin MovePlayer 327545.66 187530.28 4038.72 0 319.80 146.51 0.00
Admin MovePlayer 327146.66 186203.89 4023.57 0 327.20 168.26 0.00
Admin MovePlayer 321525.09 180239.83 4057.95 0 327.76 352.56 0.00
Admin MovePlayer 319711.25 180742.38 4050.09 0 323.26 48.76 0.00
Admin MovePlayer 319572.78 181828.34 4050.31 0 326.31 274.22 0.00
Admin MovePlayer 319650.78 182308.63 4050.31 0 324.36 285.17 0.00
Admin MovePlayer 319846.72 182628.70 4050.03 0 315.76 246.77 0.00
Admin MovePlayer 318000.50 184463.84 4050.31 0 328.36 158.78 0.00
Admin MovePlayer 317597.19 184777.83 4077.02 0 326.06 249.67 0.00
Admin MovePlayer 317452.00 184388.69 4050.31 0 306.76 97.57 0.00
Admin MovePlayer 317196.16 185388.25 4050.31 0 322.46 54.03 0.00
Admin MovePlayer 317120.78 186506.41 4050.14 0 324.16 53.08 0.00
Admin MovePlayer 316970.69 187034.91 4050.09 0 321.96 21.28 0.00
Admin MovePlayer 316998.44 187697.19 4048.62 0 330.81 59.23 0.00
Admin MovePlayer 317305.59 188082.72 4077.02 0 310.95 207.93 0.00</t>
    <phoneticPr fontId="1" type="noConversion"/>
  </si>
  <si>
    <t>[DJ][Sanhok] Grass is clipped into 3 warehouses' foundations</t>
    <phoneticPr fontId="1" type="noConversion"/>
  </si>
  <si>
    <t>Grass is clipped into 3 warehouses' foundations. Some can be seen inside the house.</t>
    <phoneticPr fontId="1" type="noConversion"/>
  </si>
  <si>
    <t>Admin MovePlayer 327117.84 187346.59 4067.07 0 352.45 321.05 0.00
Admin MovePlayer 327422.47 186972.25 4293.51 0 320.10 311.96 0.00
Admin MovePlayer 327560.00 186614.45 4265.38 0 317.23 315.91 0.00
Admin MovePlayer 326975.50 188942.34 4067.07 0 354.68 282.36 0.00
Admin MovePlayer 327027.69 188435.92 4293.51 0 322.10 330.77 0.00
Admin MovePlayer 317503.97 187419.81 4077.02 0 349.70 129.49 0.00
Admin MovePlayer 317207.28 187856.70 4312.08 0 313.30 105.29 0.00</t>
    <phoneticPr fontId="1" type="noConversion"/>
  </si>
  <si>
    <t>Admin MovePlayer 327083.56 187103.61 4067.07 0 332.63 136.14 0.00
Admin MovePlayer 317562.75 187704.61 4077.02 0 329.15 299.44 0.00</t>
    <phoneticPr fontId="1" type="noConversion"/>
  </si>
  <si>
    <t>[DJ][Sanhok] Wood crates are clipped with pillar's cement base</t>
    <phoneticPr fontId="1" type="noConversion"/>
  </si>
  <si>
    <t>[DJ][Sanhok] Grass is clipped with wood pole on ground</t>
    <phoneticPr fontId="1" type="noConversion"/>
  </si>
  <si>
    <t>Wang Zhengwen &amp; Harvey</t>
    <phoneticPr fontId="1" type="noConversion"/>
  </si>
  <si>
    <t>Admin MovePlayer 370081.63 200742.67 503.94 0 332.71 105.80 0.00</t>
  </si>
  <si>
    <t>[DJ][Sanhok] There is a hole in the shadow texture of a double ear pot</t>
    <phoneticPr fontId="1" type="noConversion"/>
  </si>
  <si>
    <t xml:space="preserve">[DJ][Sanhok] </t>
    <phoneticPr fontId="1" type="noConversion"/>
  </si>
  <si>
    <t>select expectation…</t>
  </si>
  <si>
    <t>Cliff Chiu &amp; Jason Spencer &amp; ShiWeiLiang</t>
    <phoneticPr fontId="1" type="noConversion"/>
  </si>
  <si>
    <t>Admin MovePlayer 369119.13 201262.06 505.01 0 340.21 350.41 0.00</t>
  </si>
  <si>
    <t>[DJ][Sanhok] LOD issue occurs on the white bottle on trolley</t>
    <phoneticPr fontId="1" type="noConversion"/>
  </si>
  <si>
    <t>The LOD issue should be fixed</t>
  </si>
  <si>
    <t>[DJ][Sanhok] The grass is clipped with wood stairs</t>
    <phoneticPr fontId="1" type="noConversion"/>
  </si>
  <si>
    <t>[DJ][Sanhok] Grass is clipped with wood plates on ground</t>
    <phoneticPr fontId="1" type="noConversion"/>
  </si>
  <si>
    <t>[DJ][Sanhok] Stair handrail is too long</t>
    <phoneticPr fontId="1" type="noConversion"/>
  </si>
  <si>
    <t>Admin MovePlayer 325444.16 103746.67 2733.71 0 340.90 277.52 0.00</t>
  </si>
  <si>
    <r>
      <t>Stair handrail is too long</t>
    </r>
    <r>
      <rPr>
        <b/>
        <sz val="10"/>
        <color theme="1"/>
        <rFont val="Tahoma"/>
        <family val="2"/>
      </rPr>
      <t xml:space="preserve"> </t>
    </r>
    <r>
      <rPr>
        <sz val="10"/>
        <color theme="1"/>
        <rFont val="Tahoma"/>
        <family val="2"/>
      </rPr>
      <t>that the pillar connects with ground</t>
    </r>
    <phoneticPr fontId="1" type="noConversion"/>
  </si>
  <si>
    <t>The handrail should be shortened and the last pillar removed on each side.</t>
    <phoneticPr fontId="1" type="noConversion"/>
  </si>
  <si>
    <t>[DJ][Sanhok] Grass is clipped with wood racks</t>
    <phoneticPr fontId="1" type="noConversion"/>
  </si>
  <si>
    <t>Admin MovePlayer 303116.50 104715.37 2535.26 0 0.20 16.57 0.00</t>
  </si>
  <si>
    <t>[DJ][Sanhok] LOD issue occurs on the house roof</t>
    <phoneticPr fontId="1" type="noConversion"/>
  </si>
  <si>
    <t>[DJ][Sanhok] Picup item is clipped into ground surface</t>
    <phoneticPr fontId="1" type="noConversion"/>
  </si>
  <si>
    <t>Admin MovePlayer 346773.81 130207.34 912.86 0 293.90 137.87 0.00</t>
  </si>
  <si>
    <t>Picup item is clipped into ground surface. Noticeable that the white outline of the object is cut off.</t>
    <phoneticPr fontId="1" type="noConversion"/>
  </si>
  <si>
    <t>Admin MovePlayer 344658.25 128280.05 850.98 0 336.21 139.85 0.00</t>
  </si>
  <si>
    <t>[DJ][Sanhok] Big blue capped barrel is cliiped with tarpaulin on ground</t>
    <phoneticPr fontId="1" type="noConversion"/>
  </si>
  <si>
    <t>[DJ][Sanhok] Tarpaulin is clipped with house pillar and wall</t>
    <phoneticPr fontId="1" type="noConversion"/>
  </si>
  <si>
    <t>Admin MovePlayer 346404.13 129962.99 831.03 0 323.10 108.89 0.00</t>
  </si>
  <si>
    <t>Admin MovePlayer 348060.91 128849.42 902.10 0 325.50 304.01 0.00</t>
  </si>
  <si>
    <t>[DJ][Sanhok] Grass is clipped with empty pot</t>
    <phoneticPr fontId="1" type="noConversion"/>
  </si>
  <si>
    <t xml:space="preserve">[DJ][Sanhok] Barrel is clipped with grass </t>
    <phoneticPr fontId="1" type="noConversion"/>
  </si>
  <si>
    <t>Barrel is clipped with grass and one side seems does not touch the ground</t>
    <phoneticPr fontId="1" type="noConversion"/>
  </si>
  <si>
    <t>Admin MovePlayer 377566.31 146498.17 267.50 0 314.50 198.71 0.00
Admin MovePlayer 377571.56 146480.67 220.50 0 344.15 185.66 0.00</t>
    <phoneticPr fontId="1" type="noConversion"/>
  </si>
  <si>
    <t>merged with 088</t>
    <phoneticPr fontId="1" type="noConversion"/>
  </si>
  <si>
    <t>Admin MovePlayer 369516.50 199657.38 504.82 0 310.44 265.50 0.00
Admin MovePlayer 369419.16 199360.20 504.74 0 313.55 76.91 0.00
Admin MovePlayer 348766.41 130201.96 875.06 0 319.20 283.38 0.00</t>
    <phoneticPr fontId="1" type="noConversion"/>
  </si>
  <si>
    <t>merged with 085</t>
    <phoneticPr fontId="1" type="noConversion"/>
  </si>
  <si>
    <t>Admin MovePlayer 325474.13 102960.23 2756.33 0 323.20 327.46 0.00
Admin MovePlayer 348019.22 128738.97 900.18 0 318.90 62.50 0.00
Admin MovePlayer 345929.81 126173.43 868.92 0 332.05 52.84 0.00
Admin MovePlayer 334665.03 129416.45 1764.84 0 303.16 210.86 0.00
Admin MovePlayer 330680.72 129853.25 1764.84 0 321.28 205.40 0.00</t>
    <phoneticPr fontId="1" type="noConversion"/>
  </si>
  <si>
    <t>merged with 090</t>
  </si>
  <si>
    <t>merged with 090</t>
    <phoneticPr fontId="1" type="noConversion"/>
  </si>
  <si>
    <t>merged with 085</t>
    <phoneticPr fontId="1" type="noConversion"/>
  </si>
  <si>
    <t>Admin MovePlayer 324582.50 102489.56 2763.59 0 297.95 319.05 0.00
Admin MovePlayer 345461.63 128873.37 835.46 0 324.33 101.12 0.00</t>
    <phoneticPr fontId="1" type="noConversion"/>
  </si>
  <si>
    <t>merged with 92</t>
    <phoneticPr fontId="1" type="noConversion"/>
  </si>
  <si>
    <t>https://jira.krafton.com/browse/PUBG-41698</t>
  </si>
  <si>
    <t>https://jira.krafton.com/browse/PUBG-41700</t>
  </si>
  <si>
    <t>https://jira.krafton.com/browse/PUBG-41701</t>
  </si>
  <si>
    <t>https://jira.krafton.com/browse/PUBG-41702</t>
  </si>
  <si>
    <t>https://jira.krafton.com/browse/PUBG-41703</t>
  </si>
  <si>
    <t>https://jira.krafton.com/browse/PUBG-41704</t>
  </si>
  <si>
    <t>https://jira.krafton.com/browse/PUBG-41706</t>
  </si>
  <si>
    <t>https://jira.krafton.com/browse/PUBG-41707</t>
  </si>
  <si>
    <t>https://jira.krafton.com/browse/PUBG-41708</t>
  </si>
  <si>
    <t>https://jira.krafton.com/browse/PUBG-41709</t>
  </si>
  <si>
    <t>https://jira.krafton.com/browse/PUBG-41710</t>
  </si>
  <si>
    <t>https://jira.krafton.com/browse/PUBG-41711</t>
  </si>
  <si>
    <t>https://jira.krafton.com/browse/PUBG-41712</t>
  </si>
  <si>
    <t>https://jira.krafton.com/browse/PUBG-41714</t>
  </si>
  <si>
    <t>https://jira.krafton.com/browse/PUBG-41715</t>
  </si>
  <si>
    <t>https://jira.krafton.com/browse/PUBG-41717</t>
  </si>
  <si>
    <t>https://jira.krafton.com/browse/PUBG-41718</t>
    <phoneticPr fontId="1" type="noConversion"/>
  </si>
  <si>
    <t>https://jira.krafton.com/browse/PUBG-41719</t>
  </si>
  <si>
    <t>https://jira.krafton.com/browse/PUBG-41720</t>
  </si>
  <si>
    <t>https://jira.krafton.com/browse/PUBG-41721</t>
  </si>
  <si>
    <t>https://jira.krafton.com/browse/PUBG-41723</t>
  </si>
  <si>
    <t>https://jira.krafton.com/browse/PUBG-41705</t>
    <phoneticPr fontId="1" type="noConversion"/>
  </si>
  <si>
    <t>Admin MovePlayer 368508.84 199278.48 504.42 0 316.16 90.84 0.00
Admin MovePlayer 335714.47 129108.16 1740.02 0 324.39 176.73 0.00
Admin MovePlayer 331922.50 128434.04 1750.46 0 309.68 140.02 0.00
Admin MovePlayer 380516.00 147747.94 267.50 0 308.03 227.81 0.00</t>
    <phoneticPr fontId="1" type="noConversion"/>
  </si>
  <si>
    <t>[DJ][Sanhok] Plant is clipped into the ground</t>
    <phoneticPr fontId="1" type="noConversion"/>
  </si>
  <si>
    <t>[DJ][Sanhok] Grass is clipped with wood beams on the ground</t>
    <phoneticPr fontId="1" type="noConversion"/>
  </si>
  <si>
    <t>[DJ][Sanhok] Grass is clipped with wasted truck</t>
    <phoneticPr fontId="1" type="noConversion"/>
  </si>
  <si>
    <t>[DJ][Sanhok] Tarp is clipped with wood beam on the ground</t>
    <phoneticPr fontId="1" type="noConversion"/>
  </si>
  <si>
    <t>Admin MovePlayer 371614.75 177028.45 446.40 0 313.05 234.89 0.00</t>
  </si>
  <si>
    <t>[DJ][Sanhok] Bicycle is clipped with ground and house</t>
    <phoneticPr fontId="1" type="noConversion"/>
  </si>
  <si>
    <t>[DJ][Sanhok] Tarp is clipped with grass on the ground</t>
    <phoneticPr fontId="1" type="noConversion"/>
  </si>
  <si>
    <t>Admin MovePlayer 371654.91 173775.44 446.33 0 321.95 331.70 0.00</t>
  </si>
  <si>
    <t>Admin MovePlayer 373523.06 172596.03 445.70 0 332.46 143.52 0.00</t>
  </si>
  <si>
    <t>[DJ][Sanhok] Grass is clipped with house beam</t>
    <phoneticPr fontId="1" type="noConversion"/>
  </si>
  <si>
    <t>Stair handrail is too long that the pillar connects with ground</t>
    <phoneticPr fontId="1" type="noConversion"/>
  </si>
  <si>
    <t>Admin MovePlayer 371915.13 175754.13 446.40 0 328.29 355.44 0.00
Admin MovePlayer 374810.72 179083.33 443.12 0 334.27 150.16 0.00</t>
    <phoneticPr fontId="1" type="noConversion"/>
  </si>
  <si>
    <t>Admin MovePlayer 369664.84 172751.69 557.39 0 317.05 146.84 0.00</t>
  </si>
  <si>
    <t>[DJ][Sanhok] Grass is clipped with pre-placed Scooter</t>
    <phoneticPr fontId="1" type="noConversion"/>
  </si>
  <si>
    <t>[DJ][Sanhok] Grass is clipped with stair steps</t>
    <phoneticPr fontId="1" type="noConversion"/>
  </si>
  <si>
    <t>Admin MovePlayer 372619.16 175143.91 446.37 0 341.44 160.96 0.00
Admin MovePlayer 374241.28 178779.31 446.38 0 328.86 172.83 0.00
Admin MovePlayer 373435.03 175680.20 446.40 0 333.09 81.54 0.00</t>
    <phoneticPr fontId="1" type="noConversion"/>
  </si>
  <si>
    <t>[DJ][Sanhok] 2 wood beams are clipped with each other</t>
    <phoneticPr fontId="1" type="noConversion"/>
  </si>
  <si>
    <t>Admin MovePlayer 374512.38 173113.23 446.22 0 357.57 137.18 0.00</t>
  </si>
  <si>
    <t>[DJ][Sanhok] LOD issue occurs on wasted truck's windshield</t>
    <phoneticPr fontId="1" type="noConversion"/>
  </si>
  <si>
    <t>Admin MovePlayer 371309.16 177944.89 588.07 0 301.21 130.73 0.00</t>
  </si>
  <si>
    <t>[DJ][Sanhok] Grass is clipped with empty pot</t>
    <phoneticPr fontId="1" type="noConversion"/>
  </si>
  <si>
    <t>Admin MovePlayer 375964.19 164215.75 310.29 0 306.16 177.37 0.00</t>
  </si>
  <si>
    <t>[DJ][Sanhok] Grass is clipped with basket drawer on the ground</t>
    <phoneticPr fontId="1" type="noConversion"/>
  </si>
  <si>
    <t>Admin MovePlayer 378799.63 148382.97 267.49 0 313.67 96.30 0.00</t>
  </si>
  <si>
    <t>[DJ][Sanhok] Bicycle is clipped with tree</t>
    <phoneticPr fontId="1" type="noConversion"/>
  </si>
  <si>
    <t>Admin MovePlayer 379472.56 148663.00 267.49 0 331.69 57.88 0.00</t>
  </si>
  <si>
    <t>[DJ][Sanhok] Tarp is clipped with barrel</t>
    <phoneticPr fontId="1" type="noConversion"/>
  </si>
  <si>
    <t>Admin MovePlayer 379431.59 146524.73 267.50 0 337.28 89.41 0.00</t>
  </si>
  <si>
    <t>[DJ][Sanhok] Gabage bag is clipped with a chair</t>
    <phoneticPr fontId="1" type="noConversion"/>
  </si>
  <si>
    <t>[DJ][Sanhok] Grass is clipped with rocks</t>
    <phoneticPr fontId="1" type="noConversion"/>
  </si>
  <si>
    <t>Admin MovePlayer 382679.97 151592.13 794.79 0 312.11 308.32 0.00</t>
  </si>
  <si>
    <t>[DJ][Sanhok] Rock texture is of low resolution and looks corrupted</t>
    <phoneticPr fontId="1" type="noConversion"/>
  </si>
  <si>
    <t>Admin MovePlayer 381845.56 150746.94 228.68 0 343.13 32.09 0.00
Admin MovePlayer 383026.53 151537.19 843.58 0 304.96 336.63 0.00
Admin MovePlayer 384606.25 177458.95 668.04 0 306.30 255.23 0.00</t>
    <phoneticPr fontId="1" type="noConversion"/>
  </si>
  <si>
    <t>[DJ][Sanhok] Grass is clipped with wood racks</t>
    <phoneticPr fontId="1" type="noConversion"/>
  </si>
  <si>
    <t>[DJ][Sanhok] Grass is clipped with wall surrounding an area of buildings south to Camp Bravo</t>
    <phoneticPr fontId="1" type="noConversion"/>
  </si>
  <si>
    <t>Admin MovePlayer 347824.69 178815.94 1190.93 0 332.73 167.68 0.00
Admin MovePlayer 348075.81 179112.72 1190.94 0 328.52 144.75 0.00
Admin MovePlayer 349099.69 180428.88 1190.93 0 326.72 141.37 0.00
Admin MovePlayer 353275.91 181423.63 957.98 0 328.41 112.24 0.00
Admin MovePlayer 354380.66 178430.47 888.68 0 317.79 101.49 0.00
Admin MovePlayer 354029.06 178911.59 871.36 0 318.62 288.08 0.00
Admin MovePlayer 354852.06 175724.30 749.92 0 324.28 328.06 0.00
Admin MovePlayer 355293.97 175807.69 774.27 0 324.71 204.18 0.00
Admin MovePlayer 351466.09 171711.83 574.32 0 333.64 188.76 0.00
Admin MovePlayer 349660.94 170840.50 574.53 0 323.17 59.52 0.00
more spots along the wall in the area as shown in attached map</t>
    <phoneticPr fontId="1" type="noConversion"/>
  </si>
  <si>
    <t>Admin MovePlayer 348707.28 176008.02 962.45 0 289.94 164.19 0.00</t>
  </si>
  <si>
    <t>[DJ][Sanhok] Pot is clipped with ground</t>
    <phoneticPr fontId="1" type="noConversion"/>
  </si>
  <si>
    <t>Admin MovePlayer 351115.28 173341.14 661.97 0 319.91 206.60 0.00</t>
  </si>
  <si>
    <t>[DJ][Sanhok] Grass is clipped with round basket</t>
    <phoneticPr fontId="1" type="noConversion"/>
  </si>
  <si>
    <t>Admin MovePlayer 353413.09 177733.88 799.63 0 347.96 264.25 0.00</t>
  </si>
  <si>
    <t>[DJ][Sanhok] Detached windows is clipped with wall</t>
    <phoneticPr fontId="1" type="noConversion"/>
  </si>
  <si>
    <t>[DJ][Sanhok] Grass is clipped with blue-capped bottle</t>
    <phoneticPr fontId="1" type="noConversion"/>
  </si>
  <si>
    <t>[DJ][Sanhok] Grass is clipped with fallen table</t>
    <phoneticPr fontId="1" type="noConversion"/>
  </si>
  <si>
    <t>Admin MovePlayer 352807.56 181750.31 1019.19 0 315.11 73.90 0.00
Admin MovePlayer 368346.38 132311.39 499.03 0 313.14 211.04 0.00</t>
    <phoneticPr fontId="1" type="noConversion"/>
  </si>
  <si>
    <t>Admin MovePlayer 347481.50 174269.72 702.40 0 324.67 143.07 0.00
Admin MovePlayer 371225.91 134573.73 323.53 0 332.18 325.90 0.00</t>
    <phoneticPr fontId="1" type="noConversion"/>
  </si>
  <si>
    <t>Admin MovePlayer 367133.63 131185.20 536.73 0 317.22 337.64 0.00</t>
  </si>
  <si>
    <t>Admin MovePlayer 373750.50 174460.14 445.91 0 341.20 321.75 0.00
Admin MovePlayer 318867.25 168989.14 2942.30 0 344.36 349.63 0.00</t>
    <phoneticPr fontId="1" type="noConversion"/>
  </si>
  <si>
    <t>Admin MovePlayer 370316.25 179157.94 446.27 0 310.00 327.72 0.00
Admin MovePlayer 376343.56 164477.14 309.01 0 318.85 281.75 0.00
Admin MovePlayer 366461.44 147539.02 320.28 0 326.11 196.52 0.00
Admin MovePlayer 349368.50 196754.63 1853.93 0 337.25 230.78 0.00
Admin MovePlayer 361971.75 190968.20 2045.43 0 351.42 317.58 0.00
Admin MovePlayer 351059.50 179973.31 1076.64 0 311.24 50.92 0.00
Admin MovePlayer 354671.44 176828.67 779.50 0 314.80 239.52 0.00
Admin MovePlayer 365380.84 132281.19 491.77 0 310.64 114.51 0.00
Admin MovePlayer 319165.16 168720.91 2954.56 0 315.03 57.06 0.00
Admin MovePlayer 313431.84 153582.72 1378.43 0 327.51 346.82 0.00</t>
    <phoneticPr fontId="1" type="noConversion"/>
  </si>
  <si>
    <t>Admin MovePlayer 313249.19 152399.36 1378.44 0 326.34 189.34 0.00</t>
  </si>
  <si>
    <t>[DJ][Sanhok] Grass is clipped with 2 shelfs and a pot</t>
    <phoneticPr fontId="1" type="noConversion"/>
  </si>
  <si>
    <t>Admin MovePlayer 311849.59 136945.47 1113.61 0 329.46 305.34 0.00</t>
    <phoneticPr fontId="1" type="noConversion"/>
  </si>
  <si>
    <t>[DJ][Sanhok] Wood shelf is clipped with house</t>
    <phoneticPr fontId="1" type="noConversion"/>
  </si>
  <si>
    <t>Admin MovePlayer 369715.47 176846.70 445.99 0 322.75 291.13 0.00
Admin MovePlayer 374013.47 161456.09 313.46 0 328.90 60.77 0.00
Admin MovePlayer 379722.91 146316.75 267.50 0 325.90 91.09 0.00
Admin MovePlayer 312976.44 137075.44 1154.49 0 318.50 14.84 0.00</t>
    <phoneticPr fontId="1" type="noConversion"/>
  </si>
  <si>
    <t>Admin MovePlayer 372533.59 175793.06 446.40 0 325.66 94.04 0.00
Admin MovePlayer 375406.66 176309.25 443.04 0 323.61 104.58 0.00
Admin MovePlayer 373605.44 162121.92 316.12 0 297.10 73.99 0.00
Admin MovePlayer 373560.72 163961.31 320.93 0 309.53 50.08 0.00
Admin MovePlayer 377594.50 146275.81 267.50 0 313.21 269.43 0.00
Admin MovePlayer 349741.94 176745.50 866.48 0 320.90 182.39 0.00
Admin MovePlayer 313007.03 151210.86 1383.43 0 314.04 228.68 0.00
Admin MovePlayer 312472.28 138559.92 1134.00 0 315.99 350.36 0.00 (wood beam also clips with house)</t>
    <phoneticPr fontId="1" type="noConversion"/>
  </si>
  <si>
    <t>Admin MovePlayer 371895.38 177400.88 446.40 0 327.05 308.42 0.00
Admin MovePlayer 374042.31 161383.81 313.10 0 328.57 80.75 0.00
Admin MovePlayer 352650.00 175063.55 783.12 0 330.63 285.31 0.00
Admin MovePlayer 349103.38 172688.70 657.64 0 333.08 49.47 0.00 (also clip with grass)
Admin MovePlayer 318118.56 123133.30 1048.64 0 316.34 226.16 0.00</t>
    <phoneticPr fontId="1" type="noConversion"/>
  </si>
  <si>
    <t>Admin MovePlayer 373879.72 175566.89 446.19 0 317.76 0.44 0.00
Admin MovePlayer 318432.25 122414.56 1015.54 0 325.53 30.36 0.00</t>
    <phoneticPr fontId="1" type="noConversion"/>
  </si>
  <si>
    <t>Admin MovePlayer 347409.13 178444.86 1190.93 0 341.09 225.13 0.00
Admin MovePlayer 319904.22 119525.22 1256.19 0 295.75 172.03 0.00</t>
    <phoneticPr fontId="1" type="noConversion"/>
  </si>
  <si>
    <t>Admin MovePlayer 321478.06 121508.19 1003.54 0 317.79 280.11 0.00</t>
  </si>
  <si>
    <t>[DJ][Sanhok] Pot and tall basket are clipped with each other</t>
    <phoneticPr fontId="1" type="noConversion"/>
  </si>
  <si>
    <t>Admin MovePlayer 319520.34 122159.27 1023.01 0 323.28 80.82 0.00</t>
  </si>
  <si>
    <t>The table and chairs should rest on gound properly.</t>
    <phoneticPr fontId="1" type="noConversion"/>
  </si>
  <si>
    <t>Admin MovePlayer 321795.78 121438.39 991.64 0 331.82 217.08 0.00</t>
  </si>
  <si>
    <t>The shelf should rest on ground properly</t>
    <phoneticPr fontId="1" type="noConversion"/>
  </si>
  <si>
    <t>[DJ][Sanhok] Shelf is slightly floating over ground</t>
    <phoneticPr fontId="1" type="noConversion"/>
  </si>
  <si>
    <t>[DJ][Sanhok] Table and chair are slightly floating over ground</t>
    <phoneticPr fontId="1" type="noConversion"/>
  </si>
  <si>
    <t>[DJ][Sanhok] Palm trees strangely buried low</t>
  </si>
  <si>
    <t>[DJ][Sanhok] Red lantern has no bullet hole decals when shot</t>
  </si>
  <si>
    <t>https://jira.krafton.com/browse/PUBG-41916</t>
  </si>
  <si>
    <t>https://jira.krafton.com/browse/PUBG-41917</t>
  </si>
  <si>
    <t>https://jira.krafton.com/browse/PUBG-41918</t>
  </si>
  <si>
    <t>https://jira.krafton.com/browse/PUBG-41919</t>
  </si>
  <si>
    <t>https://jira.krafton.com/browse/PUBG-41921</t>
  </si>
  <si>
    <t>https://jira.krafton.com/browse/PUBG-41922</t>
  </si>
  <si>
    <t>https://jira.krafton.com/browse/PUBG-41923</t>
  </si>
  <si>
    <t>https://jira.krafton.com/browse/PUBG-41924</t>
  </si>
  <si>
    <t>https://jira.krafton.com/browse/PUBG-41925</t>
  </si>
  <si>
    <t>https://jira.krafton.com/browse/PUBG-41927</t>
  </si>
  <si>
    <t>https://jira.krafton.com/browse/PUBG-41928</t>
  </si>
  <si>
    <t>https://jira.krafton.com/browse/PUBG-41929</t>
  </si>
  <si>
    <t>https://jira.krafton.com/browse/PUBG-41930</t>
  </si>
  <si>
    <t>https://jira.krafton.com/browse/PUBG-41931</t>
  </si>
  <si>
    <t>https://jira.krafton.com/browse/PUBG-41932</t>
  </si>
  <si>
    <t>https://jira.krafton.com/browse/PUBG-41933</t>
  </si>
  <si>
    <t>https://jira.krafton.com/browse/PUBG-41934</t>
  </si>
  <si>
    <t>https://jira.krafton.com/browse/PUBG-41935</t>
  </si>
  <si>
    <t>https://jira.krafton.com/browse/PUBG-41936</t>
  </si>
  <si>
    <t>https://jira.krafton.com/browse/PUBG-41937</t>
  </si>
  <si>
    <t>https://jira.krafton.com/browse/PUBG-41938</t>
  </si>
  <si>
    <t>https://jira.krafton.com/browse/PUBG-41939</t>
  </si>
  <si>
    <t>https://jira.krafton.com/browse/PUBG-41940</t>
  </si>
  <si>
    <t>https://jira.krafton.com/browse/PUBG-41941</t>
  </si>
  <si>
    <t>https://jira.krafton.com/browse/PUBG-41942</t>
  </si>
  <si>
    <t>https://jira.krafton.com/browse/PUBG-41944</t>
  </si>
  <si>
    <t>https://jira.krafton.com/browse/PUBG-41945</t>
  </si>
  <si>
    <t>https://jira.krafton.com/browse/PUBG-41946</t>
  </si>
  <si>
    <t>https://jira.krafton.com/browse/PUBG-41947</t>
  </si>
  <si>
    <t>https://jira.krafton.com/browse/PUBG-41948</t>
  </si>
  <si>
    <t>https://jira.krafton.com/browse/PUBG-41949</t>
  </si>
  <si>
    <t>https://jira.krafton.com/browse/PUBG-41950</t>
  </si>
  <si>
    <t>https://jira.krafton.com/browse/PUBG-41951</t>
  </si>
  <si>
    <r>
      <t xml:space="preserve">Wang Zhengwen </t>
    </r>
    <r>
      <rPr>
        <sz val="11"/>
        <color theme="0" tint="-0.249977111117893"/>
        <rFont val="Calibri"/>
        <family val="2"/>
      </rPr>
      <t>&amp; Harvey</t>
    </r>
    <phoneticPr fontId="1" type="noConversion"/>
  </si>
  <si>
    <r>
      <rPr>
        <sz val="11"/>
        <color theme="0" tint="-0.249977111117893"/>
        <rFont val="Calibri"/>
        <family val="2"/>
      </rPr>
      <t>Tao Yihong &amp;</t>
    </r>
    <r>
      <rPr>
        <sz val="11"/>
        <color rgb="FF000000"/>
        <rFont val="Calibri"/>
        <family val="2"/>
      </rPr>
      <t xml:space="preserve"> Shi Songhua</t>
    </r>
    <phoneticPr fontId="1" type="noConversion"/>
  </si>
  <si>
    <r>
      <rPr>
        <sz val="11"/>
        <color theme="0" tint="-0.249977111117893"/>
        <rFont val="Calibri"/>
        <family val="2"/>
      </rPr>
      <t xml:space="preserve">Cliff Chiu &amp; Jason Spencer &amp; </t>
    </r>
    <r>
      <rPr>
        <sz val="11"/>
        <color rgb="FF000000"/>
        <rFont val="Calibri"/>
        <family val="2"/>
      </rPr>
      <t>ShiWeiLiang</t>
    </r>
    <phoneticPr fontId="1" type="noConversion"/>
  </si>
  <si>
    <t>LinYafan</t>
    <phoneticPr fontId="1" type="noConversion"/>
  </si>
  <si>
    <t>Orange (DJ)</t>
    <phoneticPr fontId="1" type="noConversion"/>
  </si>
  <si>
    <t>Orange (CJ)</t>
    <phoneticPr fontId="1" type="noConversion"/>
  </si>
  <si>
    <t>Lin Yafan</t>
  </si>
  <si>
    <t>Lin Yafan</t>
    <phoneticPr fontId="1" type="noConversion"/>
  </si>
  <si>
    <t>Wang Zhengwen</t>
    <phoneticPr fontId="1" type="noConversion"/>
  </si>
  <si>
    <t>ShiWeiLiang</t>
    <phoneticPr fontId="1" type="noConversion"/>
  </si>
  <si>
    <t>Shi Songhua</t>
  </si>
  <si>
    <t>Shi Songhua</t>
    <phoneticPr fontId="1" type="noConversion"/>
  </si>
  <si>
    <t>[DJ][Sanhok] Foliage is clipped with tetrapod</t>
    <phoneticPr fontId="1" type="noConversion"/>
  </si>
  <si>
    <t>Admin MovePlayer 345460.22 148660.94 762.70 0 318.51 324.52 0.00
Admin MovePlayer 341583.78 146192.58 762.81 0 329.04 200.76 0.00
Admin MovePlayer 341264.91 146658.69 762.81 0 335.33 250.60 0.00
Admin MovePlayer 338705.75 149262.91 762.81 0 337.51 198.35 0.00
Admin MovePlayer 338230.34 149749.55 762.81 0 321.09 259.17 0.00
Admin MovePlayer 334459.72 152853.69 762.81 0 342.60 14.80 0.00
Admin MovePlayer 335340.81 152878.45 762.81 0 319.71 180.78 0.00
Admin MovePlayer 337042.78 156990.64 762.81 0 332.15 193.19 0.00
Admin MovePlayer 339581.03 161149.88 762.81 0 335.86 257.68 0.00
Admin MovePlayer 342772.63 163551.92 762.81 0 337.61 288.22 0.00
Admin MovePlayer 347651.69 164891.48 762.81 0 326.68 236.84 0.00
Admin MovePlayer 350198.19 162089.36 762.81 0 339.96 318.13 0.00
Admin MovePlayer 350198.19 162089.36 762.81 0 339.96 318.13 0.00
Admin MovePlayer 351302.66 154658.39 762.81 0 340.13 293.46 0.00
Admin MovePlayer 351277.91 153725.73 762.81 0 330.97 66.66 0.00
Admin MovePlayer 343394.38 154671.55 762.81 0 341.09 215.11 0.00</t>
    <phoneticPr fontId="1" type="noConversion"/>
  </si>
  <si>
    <t>[DJ][Sanhok] Foliage is clipped with concrete plate on ground</t>
    <phoneticPr fontId="1" type="noConversion"/>
  </si>
  <si>
    <t>Admin MovePlayer 335464.19 155320.08 762.81 0 318.79 52.56 0.00
Admin MovePlayer 350492.69 153606.86 762.81 0 329.09 288.29 0.00
Admin MovePlayer 345428.88 149861.27 762.81 0 330.06 322.97 0.00
Admin MovePlayer 339357.53 156402.34 762.81 0 333.12 256.94 0.00
Admin MovePlayer 349412.09 155701.92 765.09 0 334.78 342.36 0.00
Admin MovePlayer 344479.22 153596.33 762.81 0 329.81 194.11 0.00
Admin MovePlayer 341059.19 154332.28 762.81 0 333.88 152.04 0.00</t>
    <phoneticPr fontId="1" type="noConversion"/>
  </si>
  <si>
    <t>[DJ][Sanhok] Sandbags are clipped with wall's edges</t>
    <phoneticPr fontId="1" type="noConversion"/>
  </si>
  <si>
    <t>Admin MovePlayer 351679.00 158401.95 762.81 0 338.96 58.00 0.00
Admin MovePlayer 352350.88 158036.16 882.51 0 292.96 314.90 0.00
Admin MovePlayer 348115.59 158161.27 762.81 0 330.09 228.04 0.00
Admin MovePlayer 347616.91 158265.22 762.81 0 328.38 49.53 0.00
Admin MovePlayer 346697.63 159242.59 762.81 0 336.33 333.15 0.00
Admin MovePlayer 346665.81 159315.23 762.81 0 332.73 132.96 0.00
Admin MovePlayer 346076.53 160147.36 762.81 0 328.72 261.97 0.00
Admin MovePlayer 346044.97 158192.66 879.04 0 299.65 143.41 0.00
Admin MovePlayer 346734.16 157522.27 882.07 0 301.94 321.42 0.00
Admin MovePlayer 340533.53 156698.67 762.81 0 340.54 225.25 0.00
Admin MovePlayer 341588.44 153903.19 762.81 0 328.83 38.73 0.00
Admin MovePlayer 340887.09 153304.36 762.81 0 333.86 273.14 0.00
Admin MovePlayer 341891.25 152394.69 762.81 0 329.75 223.71 0.00</t>
    <phoneticPr fontId="1" type="noConversion"/>
  </si>
  <si>
    <t>Admin MovePlayer 343292.47 149704.59 1140.15 0 322.54 332.24 0.00</t>
    <phoneticPr fontId="1" type="noConversion"/>
  </si>
  <si>
    <t>[DJ][Sanhok] LOD issue occurs on top of sand box</t>
    <phoneticPr fontId="1" type="noConversion"/>
  </si>
  <si>
    <t>Admin MovePlayer 340620.59 149501.83 762.81 0 345.04 315.89 0.00</t>
  </si>
  <si>
    <t>[DJ][Sanhok] Grass is clipped with ramp stair</t>
    <phoneticPr fontId="1" type="noConversion"/>
  </si>
  <si>
    <t>[DJ][Sanhok] Sand box is clipped with wall</t>
    <phoneticPr fontId="1" type="noConversion"/>
  </si>
  <si>
    <t>Admin MovePlayer 345134.94 152425.44 762.81 0 339.33 195.35 0.00</t>
  </si>
  <si>
    <t>[DJ][Sanhok] Sand box is clipped with concrete plate on ground</t>
    <phoneticPr fontId="1" type="noConversion"/>
  </si>
  <si>
    <t>Admin MovePlayer 346591.53 151190.91 762.81 0 347.76 358.00 0.00
Admin MovePlayer 339202.22 151695.22 762.81 0 346.15 356.16 0.00
Admin MovePlayer 339783.75 151077.78 762.81 0 342.55 5.83 0.00
Admin MovePlayer 344257.59 162242.63 762.81 0 347.84 347.21 0.00
Admin MovePlayer 345343.81 162197.44 762.81 0 343.19 80.24 0.00</t>
    <phoneticPr fontId="1" type="noConversion"/>
  </si>
  <si>
    <t>[DJ][Sanhok] Frame is clipped with wall</t>
    <phoneticPr fontId="1" type="noConversion"/>
  </si>
  <si>
    <t>Admin MovePlayer 343500.53 148641.61 790.15 0 337.01 228.88 0.00
Admin MovePlayer 340631.81 151031.91 800.15 0 338.67 223.57 0.00</t>
    <phoneticPr fontId="1" type="noConversion"/>
  </si>
  <si>
    <t>Admin MovePlayer 345565.97 152509.06 762.81 0 354.18 11.23 0.00</t>
  </si>
  <si>
    <t>[DJ][Sanhok] LOD issue occurs on edge of concrete box</t>
    <phoneticPr fontId="1" type="noConversion"/>
  </si>
  <si>
    <t>Admin MovePlayer 347130.44 151794.27 790.83 0 355.09 281.10 0.00</t>
  </si>
  <si>
    <t>[DJ][Sanhok] LOD issue occurs on bricks of blocked windows</t>
    <phoneticPr fontId="1" type="noConversion"/>
  </si>
  <si>
    <t>[DJ][Sanhok] Inconsistent direction of same vines texture on walls</t>
    <phoneticPr fontId="1" type="noConversion"/>
  </si>
  <si>
    <t>Most of the vines are going downwards, from rooftop or wires. However in a few spots thery are going from ground upwards.
It looks inconsistent and strange.</t>
    <phoneticPr fontId="1" type="noConversion"/>
  </si>
  <si>
    <t>Admin MovePlayer 343060.56 155736.63 762.81 0 353.89 197.30 0.00
Admin MovePlayer 343076.44 154433.69 1183.20 0 341.95 2.75 0.00
Admin MovePlayer 346674.91 156427.72 1140.15 0 340.69 186.24 0.00
Admin MovePlayer 347564.22 158440.48 890.16 0 347.50 73.38 0.00</t>
    <phoneticPr fontId="1" type="noConversion"/>
  </si>
  <si>
    <t>[DJ][Sanhok] Tarp is clipped with building or grass</t>
    <phoneticPr fontId="1" type="noConversion"/>
  </si>
  <si>
    <t>Admin MovePlayer 349331.31 155268.81 762.81 0 343.46 242.31 0.00
Admin MovePlayer 342900.41 158122.14 762.79 0 323.87 141.37 0.00
Admin MovePlayer 342841.25 151078.09 762.81 0 321.21 312.86 0.00
Admin MovePlayer 340762.19 159807.98 762.81 0 334.16 133.80 0.00</t>
    <phoneticPr fontId="1" type="noConversion"/>
  </si>
  <si>
    <t>Admin MovePlayer 347020.50 160598.03 762.81 0 338.13 291.01 0.00
Admin MovePlayer 352115.09 157207.31 762.81 0 331.04 113.78 0.00
Admin MovePlayer 343568.47 160832.97 762.81 0 332.55 148.09 0.00</t>
    <phoneticPr fontId="1" type="noConversion"/>
  </si>
  <si>
    <t>[DJ][Sanhok] Barrel is clipped with concrete block and walls</t>
    <phoneticPr fontId="1" type="noConversion"/>
  </si>
  <si>
    <t>[DJ][Sanhok] Wood crate is clipped with building</t>
    <phoneticPr fontId="1" type="noConversion"/>
  </si>
  <si>
    <t>Admin MovePlayer 337853.06 158507.41 762.81 0 349.93 133.32 0.00
Admin MovePlayer 341266.00 162876.08 762.81 0 346.31 292.66 0.00</t>
    <phoneticPr fontId="1" type="noConversion"/>
  </si>
  <si>
    <t>Admin MovePlayer 344672.13 157534.89 762.81 0 345.12 53.67 0.00</t>
  </si>
  <si>
    <t>[DJ][Sanhok] Target stand is clipped into wall</t>
    <phoneticPr fontId="1" type="noConversion"/>
  </si>
  <si>
    <t>Admin MovePlayer 346448.44 150824.38 762.81 0 357.78 47.97 0.00
Admin MovePlayer 344250.34 150574.20 762.81 0 358.78 72.72 0.00
Admin MovePlayer 340501.63 155991.23 762.81 0 356.41 313.99 0.00
Admin MovePlayer 334812.69 156627.86 762.81 0 2.67 329.74 0.00</t>
    <phoneticPr fontId="1" type="noConversion"/>
  </si>
  <si>
    <t>Admin MovePlayer 337750.03 154829.31 1139.37 0 348.36 92.28 0.00</t>
  </si>
  <si>
    <t>[DJ][Sanhok] LOD issue occurs on truck</t>
    <phoneticPr fontId="1" type="noConversion"/>
  </si>
  <si>
    <t>Admin MovePlayer 335590.81 155636.28 764.75 0 356.03 54.17 0.00</t>
  </si>
  <si>
    <t>[DJ][Sanhok] LOD issue occurs on barrels</t>
    <phoneticPr fontId="1" type="noConversion"/>
  </si>
  <si>
    <t>Admin MovePlayer 337734.50 154455.47 762.81 0 357.65 316.57 0.00</t>
  </si>
  <si>
    <t>[DJ][Sanhok] LOD issue occurs on Sand Box</t>
    <phoneticPr fontId="1" type="noConversion"/>
  </si>
  <si>
    <t>Admin MovePlayer 345302.38 157442.25 762.81 0 355.64 313.84 0.00
Admin MovePlayer 335598.28 155490.78 764.75 0 353.18 6.21 0.00
Admin MovePlayer 347595.53 163860.66 762.81 0 354.49 326.87 0.00
Admin MovePlayer 350153.50 160909.17 762.81 0 355.23 336.37 0.00</t>
    <phoneticPr fontId="1" type="noConversion"/>
  </si>
  <si>
    <t>[DJ][Sanhok] Grass is clipped into walls and buildings in Camp Bravo</t>
    <phoneticPr fontId="1" type="noConversion"/>
  </si>
  <si>
    <t>账号</t>
  </si>
  <si>
    <t>密码</t>
  </si>
  <si>
    <t>使用者</t>
  </si>
  <si>
    <t>Game QA 1 </t>
  </si>
  <si>
    <t>  Lu Jun </t>
  </si>
  <si>
    <t>virtuos11@bluehole.net</t>
  </si>
  <si>
    <t>Virtuos@QA2020</t>
  </si>
  <si>
    <t>Wang Yuxuan</t>
  </si>
  <si>
    <t>Game QA 2</t>
  </si>
  <si>
    <t>Li Tong</t>
  </si>
  <si>
    <t>virtuos12@bluehole.net</t>
  </si>
  <si>
    <t>Zhang Jingyi</t>
  </si>
  <si>
    <t>Game QA 3</t>
  </si>
  <si>
    <t>Mao Ruochen</t>
  </si>
  <si>
    <t>virtuos13@bluehole.net</t>
  </si>
  <si>
    <t>Lu Yifeng</t>
  </si>
  <si>
    <t>Game QA 4</t>
  </si>
  <si>
    <t>Yin Yihe</t>
  </si>
  <si>
    <t>virtuos14@bluehole.net</t>
  </si>
  <si>
    <t>Game QA 5</t>
  </si>
  <si>
    <t>Zhang Minghui</t>
  </si>
  <si>
    <t>virtuos15@bluehole.net</t>
  </si>
  <si>
    <t>Game QA 6</t>
  </si>
  <si>
    <t>Liu Yiyue</t>
  </si>
  <si>
    <t>virtuos16@bluehole.net</t>
  </si>
  <si>
    <t>Game QA 7</t>
  </si>
  <si>
    <t>Wang Yuqing</t>
  </si>
  <si>
    <t>virtuos17@bluehole.net</t>
  </si>
  <si>
    <t>Game QA 8</t>
  </si>
  <si>
    <t>Wang Chenshuo</t>
  </si>
  <si>
    <t>virtuos18@bluehole.net</t>
  </si>
  <si>
    <t>Shi Weiliang</t>
  </si>
  <si>
    <t>Game QA 9</t>
  </si>
  <si>
    <t>Zheng Yuqing</t>
  </si>
  <si>
    <t>virtuos19@bluehole.net</t>
  </si>
  <si>
    <t xml:space="preserve">All towers in different Camps, for example:
Alpha: Admin MovePlayer 71213.17 169932.98 629.88 0 36.44 70.18 0.00
Bravo: Admin MovePlayer 353499.72 155304.52 762.03 0 31.49 61.61 0.00
Boot Camp: Admin MovePlayer 203159.52 201807.25 1015.94 0 35.48 5.63 0.00
</t>
    <phoneticPr fontId="1" type="noConversion"/>
  </si>
  <si>
    <t>Admin MovePlayer 341190.53 162893.30 762.81 0 340.88 179.37 0.00
Admin MovePlayer 336221.56 159033.42 762.81 0 336.18 348.33 0.00
Admin MovePlayer 346342.03 147760.06 762.81 0 331.51 282.39 0.00
Admin MovePlayer 347311.44 148854.33 898.82 0 309.37 290.96 0.00
Admin MovePlayer 342149.47 163787.94 762.81 0 328.32 183.45 0.00
Admin MovePlayer 336129.78 157975.91 762.81 0 328.84 167.14 0.00</t>
    <phoneticPr fontId="1" type="noConversion"/>
  </si>
  <si>
    <t>[DJ][Sanhok] Metal poles in entrances are clipped with walls</t>
    <phoneticPr fontId="1" type="noConversion"/>
  </si>
  <si>
    <t>[DJ][Sanhok] Concrete tower-shape object is floating a little over ground</t>
    <phoneticPr fontId="1" type="noConversion"/>
  </si>
  <si>
    <t>[DJ][Sanhok] Green canvas on camp towers strangely turn black when it waves</t>
    <phoneticPr fontId="1" type="noConversion"/>
  </si>
  <si>
    <t>[DJ][Sanhok] Strange blue-tinted bricks in blocked window</t>
    <phoneticPr fontId="1" type="noConversion"/>
  </si>
  <si>
    <t>Strange blue-tinted texture of bricks in blocked window. It looks distinctivey different from all other blocked windows in the same room.</t>
    <phoneticPr fontId="1" type="noConversion"/>
  </si>
  <si>
    <t>A few examples. See map file with issues marked.
Admin MovePlayer 342385.59 146625.27 762.81 0 336.73 84.79 0.00
Admin MovePlayer 347477.69 151598.61 790.83 0 321.22 294.03 0.00
Admin MovePlayer 351921.44 156677.89 762.81 0 329.63 297.58 0.00
Admin MovePlayer 346275.31 160151.39 762.81 0 330.14 223.78 0.00
Admin MovePlayer 345161.84 150979.45 762.81 0 338.34 194.74 0.00</t>
    <phoneticPr fontId="1" type="noConversion"/>
  </si>
  <si>
    <t>https://jira.krafton.com/browse/PUBG-42241</t>
  </si>
  <si>
    <t>https://jira.krafton.com/browse/PUBG-42242</t>
  </si>
  <si>
    <t>https://jira.krafton.com/browse/PUBG-42243</t>
  </si>
  <si>
    <t>https://jira.krafton.com/browse/PUBG-42244</t>
  </si>
  <si>
    <t>https://jira.krafton.com/browse/PUBG-42245</t>
  </si>
  <si>
    <t>https://jira.krafton.com/browse/PUBG-42246</t>
  </si>
  <si>
    <t>https://jira.krafton.com/browse/PUBG-42247</t>
  </si>
  <si>
    <t>https://jira.krafton.com/browse/PUBG-42248</t>
  </si>
  <si>
    <t>https://jira.krafton.com/browse/PUBG-42249</t>
  </si>
  <si>
    <t>https://jira.krafton.com/browse/PUBG-42250</t>
  </si>
  <si>
    <t>https://jira.krafton.com/browse/PUBG-42251</t>
  </si>
  <si>
    <t>https://jira.krafton.com/browse/PUBG-42252</t>
  </si>
  <si>
    <t>https://jira.krafton.com/browse/PUBG-42253</t>
  </si>
  <si>
    <t>https://jira.krafton.com/browse/PUBG-42254</t>
  </si>
  <si>
    <t>https://jira.krafton.com/browse/PUBG-42255</t>
  </si>
  <si>
    <t>https://jira.krafton.com/browse/PUBG-42256</t>
  </si>
  <si>
    <t>https://jira.krafton.com/browse/PUBG-42257</t>
  </si>
  <si>
    <t>https://jira.krafton.com/browse/PUBG-42259</t>
  </si>
  <si>
    <t>https://jira.krafton.com/browse/PUBG-42260</t>
  </si>
  <si>
    <t>https://jira.krafton.com/browse/PUBG-42261</t>
  </si>
  <si>
    <t>https://jira.krafton.com/browse/PUBG-42262</t>
  </si>
  <si>
    <t>https://jira.krafton.com/browse/PUBG-42263</t>
  </si>
  <si>
    <t>Admin MovePlayer 328182.72 195484.69 4847.04 0 348.15 327.94 0.00</t>
  </si>
  <si>
    <t>[DJ][Sanhok] LOD issue occurs on house</t>
    <phoneticPr fontId="1" type="noConversion"/>
  </si>
  <si>
    <t>[DJ][Sanhok] LOD issue occurs on big pot</t>
    <phoneticPr fontId="1" type="noConversion"/>
  </si>
  <si>
    <t>Admin MovePlayer 349663.91 175286.45 727.73 0 353.60 8.19 0.00</t>
  </si>
  <si>
    <t>[DJ][Sanhok] LOD issue occurs on cooking pot</t>
    <phoneticPr fontId="1" type="noConversion"/>
  </si>
  <si>
    <t>Admin MovePlayer 351737.75 174776.16 744.14 0 349.05 343.51 0.00</t>
  </si>
  <si>
    <t>[DJ][Sanhok] Pots are floating over shelf</t>
    <phoneticPr fontId="1" type="noConversion"/>
  </si>
  <si>
    <t>Admin MovePlayer 351824.78 174335.31 711.37 0 355.63 44.10 0.00</t>
  </si>
  <si>
    <t>Admin MovePlayer 351725.97 181199.70 1114.33 0 348.66 62.36 0.00</t>
  </si>
  <si>
    <t>[DJ][Sanhok] Player movement is blocked by lower edge of thatch roof</t>
    <phoneticPr fontId="1" type="noConversion"/>
  </si>
  <si>
    <t>The player should not be blocked from moving out of the area under the roof. The House could be lifted a bit higher, or the collision of the roof can be a bit smaller.</t>
    <phoneticPr fontId="1" type="noConversion"/>
  </si>
  <si>
    <t>Admin MovePlayer 343941.31 148557.47 790.15 0 3.42 25.54 0.00
Admin MovePlayer 340987.50 151213.95 800.15 0 5.78 351.10 0.00
Admin MovePlayer 339396.75 152518.33 790.15 0 2.91 73.88 0.00
Admin MovePlayer 338580.88 152969.66 788.38 0 357.72 109.68 0.00
Admin MovePlayer 337065.81 155301.84 790.15 0 358.99 71.01 0.00
Admin MovePlayer 343092.22 149969.08 790.15 0 358.89 139.52 0.00
Admin MovePlayer 344055.25 152225.47 790.83 0 357.31 329.95 0.00
Admin MovePlayer 344964.91 151425.83 790.83 0 353.63 46.07 0.00
Admin MovePlayer 347461.69 151395.05 790.83 0 351.31 47.48 0.00
Admin MovePlayer 346466.06 152232.41 790.83 0 352.37 320.87 0.00
Admin MovePlayer 342012.47 156158.91 790.83 0 349.04 145.42 0.00
Admin MovePlayer 341135.91 155190.16 790.83 0 354.48 36.58 0.00
Admin MovePlayer 340621.66 156952.50 790.83 0 357.64 50.82 0.00
Admin MovePlayer 339710.75 157813.53 790.83 0 353.06 314.93 0.00
Admin MovePlayer 340979.84 149566.72 798.39 0 353.51 267.33 0.00
Admin MovePlayer 337247.84 158440.00 812.81 0 4.60 230.38 0.00
Admin MovePlayer 340931.88 158773.91 805.05 0 4.50 79.95 0.00
Admin MovePlayer 343115.84 156655.38 788.38 0 352.29 282.73 0.00
Admin MovePlayer 345615.44 154988.80 788.38 0 356.22 88.08 0.00
Admin MovePlayer 347314.56 153807.64 790.15 0 5.27 188.45 0.00
Admin MovePlayer 349760.16 154219.00 790.20 0 5.39 342.07 0.00
Admin MovePlayer 347376.50 156651.66 790.15 0 6.71 338.86 0.00
Admin MovePlayer 344908.75 158835.83 790.15 0 6.48 89.60 0.00
Admin MovePlayer 342461.88 161191.19 790.15 0 3.96 82.68 0.00
Admin MovePlayer 341231.97 162210.78 812.81 0 2.70 232.10 0.00
Admin MovePlayer 345253.84 161349.33 790.15 0 2.71 324.02 0.00
Admin MovePlayer 344635.09 162879.45 790.15 0 3.68 78.00 0.00
Admin MovePlayer 347410.75 161641.41 798.38 0 359.40 98.52 0.00
Admin MovePlayer 347392.53 160140.13 800.15 0 2.24 182.29 0.00
Admin MovePlayer 348974.25 158825.88 800.15 0 4.35 258.47 0.00
Admin MovePlayer 349837.13 158379.63 798.39 0 355.98 271.84 0.00
Admin MovePlayer 349936.88 156705.72 790.15 0 1.88 328.91 0.00
Admin MovePlayer 351299.56 156021.52 790.15 0 358.50 254.85 0.00</t>
    <phoneticPr fontId="1" type="noConversion"/>
  </si>
  <si>
    <t>Admin MovePlayer 343500.53 148641.61 790.15 0 337.01 228.88 0.00
Admin MovePlayer 340631.81 151031.91 800.15 0 338.67 223.57 0.00
Admin MovePlayer 339655.66 152176.06 790.15 0 338.77 303.72 0.00
Admin MovePlayer 337310.66 154992.42 790.15 0 339.12 305.99 0.00
Admin MovePlayer 341063.31 158428.94 805.05 0 339.40 318.45 0.00
Admin MovePlayer 349392.94 154030.66 790.20 0 343.66 234.34 0.00
Admin MovePlayer 346985.34 156398.25 790.15 0 338.78 217.72 0.00
Admin MovePlayer 345007.13 158505.42 790.15 0 347.93 328.35 0.00
Admin MovePlayer 342624.06 160874.70 790.15 0 344.65 321.69 0.00
Admin MovePlayer 344821.75 162576.61 790.15 0 347.65 307.88 0.00
Admin MovePlayer 347692.25 160220.67 800.15 0 350.59 49.76 0.00
Admin MovePlayer 348779.97 159127.81 800.15 0 342.83 133.25 0.00
Admin MovePlayer 351112.78 156278.14 790.15 0 344.44 139.81 0.00</t>
    <phoneticPr fontId="1" type="noConversion"/>
  </si>
  <si>
    <t>1. Run server DedicatedServer_NoBattleEye_Airborne_JoinAny(Savage).bat
2. Run client ClientLocal_NoBattleEye.bat
3. Teleport to the coordinates according to the bug description
4. Observe the related subject.</t>
    <phoneticPr fontId="1" type="noConversion"/>
  </si>
  <si>
    <t>https://jira.krafton.com/browse/PUBG-42409</t>
  </si>
  <si>
    <t>https://jira.krafton.com/browse/PUBG-42410</t>
  </si>
  <si>
    <t>https://jira.krafton.com/browse/PUBG-42411</t>
  </si>
  <si>
    <t>https://jira.krafton.com/browse/PUBG-42412</t>
  </si>
  <si>
    <t>https://jira.krafton.com/browse/PUBG-42414</t>
  </si>
  <si>
    <t>[DJ][Sanhok] Frames leaning on walls are clipped with walls in buildings around Camp Bravo</t>
    <phoneticPr fontId="1" type="noConversion"/>
  </si>
  <si>
    <t>[DJ][Sanhok] Wood beams leaning on walls are clipped with walls in buildings around Camp Bravo</t>
    <phoneticPr fontId="1" type="noConversion"/>
  </si>
  <si>
    <t>https://jira.krafton.com/browse/PUBG-42417</t>
  </si>
  <si>
    <t>https://jira.krafton.com/browse/PUBG-42416</t>
    <phoneticPr fontId="1" type="noConversion"/>
  </si>
  <si>
    <t>[DJ][Sanhok] Concrete tubes are clipped into ground</t>
    <phoneticPr fontId="1" type="noConversion"/>
  </si>
  <si>
    <t>Admin MovePlayer 334240.81 155797.84 762.81 0 338.86 349.82 0.00
Admin MovePlayer 340664.00 161363.69 762.81 0 328.71 331.67 0.00
Admin MovePlayer 343891.38 164412.38 762.81 0 329.62 350.12 0.00
Admin MovePlayer 345623.94 163291.86 762.81 0 329.01 358.58 0.00
Admin MovePlayer 348701.47 163077.83 762.81 0 334.00 22.63 0.00
Admin MovePlayer 351709.47 160574.11 762.81 0 322.76 306.92 0.00
Admin MovePlayer 353632.75 155902.97 762.81 0 328.50 226.30 0.00
Admin MovePlayer 350656.41 152764.50 762.81 0 336.11 198.22 0.00
Admin MovePlayer 347705.50 149349.31 762.81 0 330.21 163.43 0.00
Admin MovePlayer 344411.31 146343.61 762.81 0 339.14 92.70 0.00
Admin MovePlayer 341963.06 148147.23 762.70 0 341.66 356.47 0.00
Admin MovePlayer 339502.09 147420.50 762.81 0 326.38 82.88 0.00
Admin MovePlayer 335957.38 150543.72 762.81 0 330.01 38.67 0.00</t>
    <phoneticPr fontId="1" type="noConversion"/>
  </si>
  <si>
    <t>Concrete tubes are clipped into ground in Camp Bravo. 
In most cases there is grass clipped through the concrete. When there is no grass, the intersection of the tube and ground looks very sharp without any transitions and feels unnatural.</t>
    <phoneticPr fontId="1" type="noConversion"/>
  </si>
  <si>
    <t>The tube/ground intersection should look natural without clipping issue.
The tubes can be simply lifted up so it's tunnel higher than ground.</t>
    <phoneticPr fontId="1" type="noConversion"/>
  </si>
  <si>
    <t>https://jira.krafton.com/browse/PUBG-42428</t>
  </si>
  <si>
    <t>Admin MovePlayer 343476.25 152962.69 762.81 0 3.11 325.27 0.00</t>
  </si>
  <si>
    <t>[DJ][Sanhok] Thick vines has no decals when shot at</t>
    <phoneticPr fontId="1" type="noConversion"/>
  </si>
  <si>
    <t>https://jira.krafton.com/browse/PUBG-42432</t>
  </si>
  <si>
    <t>Admin MovePlayer 229388.94 152223.77 1230.00 0 349.01 67.34 0.00</t>
  </si>
  <si>
    <t>Admin MovePlayer 248695.77 144594.69 4153.93 0 343.53 112.10 0.00</t>
  </si>
  <si>
    <t>[CJ][Sanhok] LOD issue occurs on wood shelves</t>
    <phoneticPr fontId="1" type="noConversion"/>
  </si>
  <si>
    <t>[CJ][Sanhok] Flowerpot has not bullet hole decay when shot at</t>
    <phoneticPr fontId="1" type="noConversion"/>
  </si>
  <si>
    <t>[CJ][Sanhok] Telephone has not bullet hole decay when shot at</t>
    <phoneticPr fontId="1" type="noConversion"/>
  </si>
  <si>
    <t>Admin MovePlayer 249333.03 144200.75 4153.93 0 321.84 265.22 0.00</t>
  </si>
  <si>
    <t>https://jira.krafton.com/browse/PUBG-42436</t>
  </si>
  <si>
    <t>https://jira.krafton.com/browse/PUBG-42437</t>
  </si>
  <si>
    <t>https://jira.krafton.com/browse/PUBG-42438</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</si>
</sst>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宋体"/>
      <family val="2"/>
      <charset val="134"/>
      <scheme val="minor"/>
    </font>
    <font>
      <sz val="9"/>
      <name val="宋体"/>
      <family val="2"/>
      <charset val="134"/>
      <scheme val="minor"/>
    </font>
    <font>
      <sz val="11"/>
      <color theme="1"/>
      <name val="宋体"/>
      <family val="2"/>
      <charset val="134"/>
      <scheme val="minor"/>
    </font>
    <font>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u/>
      <sz val="11"/>
      <color theme="10"/>
      <name val="宋体"/>
      <family val="2"/>
      <charset val="134"/>
      <scheme val="minor"/>
    </font>
    <font>
      <sz val="10"/>
      <color theme="1"/>
      <name val="Tahoma"/>
      <family val="2"/>
    </font>
    <font>
      <sz val="11"/>
      <color theme="1"/>
      <name val="Calibri"/>
      <family val="2"/>
    </font>
    <font>
      <sz val="11"/>
      <color theme="1"/>
      <name val="微软雅黑"/>
      <family val="2"/>
      <charset val="134"/>
    </font>
    <font>
      <sz val="7"/>
      <color theme="1"/>
      <name val="Times New Roman"/>
      <family val="1"/>
    </font>
    <font>
      <u/>
      <sz val="11"/>
      <color theme="10"/>
      <name val="宋体"/>
      <family val="3"/>
      <charset val="134"/>
      <scheme val="minor"/>
    </font>
    <font>
      <sz val="11"/>
      <color theme="1"/>
      <name val="宋体"/>
      <family val="3"/>
      <charset val="134"/>
    </font>
    <font>
      <sz val="11"/>
      <color rgb="FF000000"/>
      <name val="Calibri"/>
      <family val="2"/>
    </font>
    <font>
      <b/>
      <sz val="11"/>
      <color rgb="FF000000"/>
      <name val="Calibri"/>
      <family val="2"/>
    </font>
    <font>
      <b/>
      <i/>
      <sz val="14"/>
      <color rgb="FF000000"/>
      <name val="Calibri"/>
      <family val="2"/>
    </font>
    <font>
      <i/>
      <sz val="11"/>
      <color rgb="FF000000"/>
      <name val="Calibri"/>
      <family val="2"/>
    </font>
    <font>
      <b/>
      <sz val="12"/>
      <color theme="1"/>
      <name val="Tahoma"/>
      <family val="2"/>
    </font>
    <font>
      <b/>
      <sz val="10"/>
      <color theme="1"/>
      <name val="Tahoma"/>
      <family val="2"/>
    </font>
    <font>
      <sz val="11"/>
      <color theme="0" tint="-0.249977111117893"/>
      <name val="Calibri"/>
      <family val="2"/>
    </font>
    <font>
      <sz val="11"/>
      <color rgb="FF000000"/>
      <name val="微软雅黑"/>
      <family val="2"/>
      <charset val="134"/>
    </font>
    <font>
      <b/>
      <i/>
      <sz val="11"/>
      <color rgb="FF000000"/>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FFFF00"/>
        <bgColor indexed="64"/>
      </patternFill>
    </fill>
    <fill>
      <patternFill patternType="solid">
        <fgColor theme="5" tint="-0.249977111117893"/>
        <bgColor indexed="64"/>
      </patternFill>
    </fill>
    <fill>
      <patternFill patternType="solid">
        <fgColor rgb="FFDDEBF7"/>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43">
    <xf numFmtId="0" fontId="0" fillId="0" borderId="0">
      <alignment vertical="center"/>
    </xf>
    <xf numFmtId="0" fontId="3" fillId="0" borderId="0" applyNumberFormat="0" applyFill="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7" fillId="2" borderId="0" applyNumberFormat="0" applyBorder="0" applyAlignment="0" applyProtection="0">
      <alignment vertical="center"/>
    </xf>
    <xf numFmtId="0" fontId="8" fillId="3" borderId="0" applyNumberFormat="0" applyBorder="0" applyAlignment="0" applyProtection="0">
      <alignment vertical="center"/>
    </xf>
    <xf numFmtId="0" fontId="9" fillId="4" borderId="0" applyNumberFormat="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0" borderId="6" applyNumberFormat="0" applyFill="0" applyAlignment="0" applyProtection="0">
      <alignment vertical="center"/>
    </xf>
    <xf numFmtId="0" fontId="14" fillId="7" borderId="7" applyNumberFormat="0" applyAlignment="0" applyProtection="0">
      <alignment vertical="center"/>
    </xf>
    <xf numFmtId="0" fontId="15" fillId="0" borderId="0" applyNumberFormat="0" applyFill="0" applyBorder="0" applyAlignment="0" applyProtection="0">
      <alignment vertical="center"/>
    </xf>
    <xf numFmtId="0" fontId="2" fillId="8"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18" fillId="32" borderId="0" applyNumberFormat="0" applyBorder="0" applyAlignment="0" applyProtection="0">
      <alignment vertical="center"/>
    </xf>
    <xf numFmtId="0" fontId="19" fillId="0" borderId="0" applyNumberFormat="0" applyFill="0" applyBorder="0" applyAlignment="0" applyProtection="0">
      <alignment vertical="center"/>
    </xf>
  </cellStyleXfs>
  <cellXfs count="39">
    <xf numFmtId="0" fontId="0" fillId="0" borderId="0" xfId="0">
      <alignment vertical="center"/>
    </xf>
    <xf numFmtId="0" fontId="20" fillId="0" borderId="0" xfId="0" applyFont="1" applyAlignment="1">
      <alignment vertical="center" wrapText="1"/>
    </xf>
    <xf numFmtId="0" fontId="20" fillId="0" borderId="0" xfId="0" applyFont="1">
      <alignment vertical="center"/>
    </xf>
    <xf numFmtId="0" fontId="19" fillId="0" borderId="0" xfId="42" applyAlignment="1">
      <alignment horizontal="left" vertical="center" indent="4"/>
    </xf>
    <xf numFmtId="0" fontId="19" fillId="0" borderId="0" xfId="42" applyAlignment="1">
      <alignment horizontal="justify" vertical="center"/>
    </xf>
    <xf numFmtId="0" fontId="22" fillId="0" borderId="0" xfId="0" applyFont="1" applyAlignment="1">
      <alignment horizontal="left" vertical="center" indent="2"/>
    </xf>
    <xf numFmtId="14" fontId="0" fillId="0" borderId="0" xfId="0" applyNumberFormat="1">
      <alignment vertical="center"/>
    </xf>
    <xf numFmtId="0" fontId="22" fillId="0" borderId="0" xfId="0" applyFont="1" applyAlignment="1">
      <alignment horizontal="left" vertical="center" indent="4"/>
    </xf>
    <xf numFmtId="0" fontId="27" fillId="33" borderId="11" xfId="0" applyFont="1" applyFill="1" applyBorder="1" applyAlignment="1">
      <alignment horizontal="center" vertical="center"/>
    </xf>
    <xf numFmtId="0" fontId="19" fillId="0" borderId="0" xfId="42">
      <alignment vertical="center"/>
    </xf>
    <xf numFmtId="0" fontId="26" fillId="0" borderId="12" xfId="0" applyFont="1" applyBorder="1" applyAlignment="1">
      <alignment horizontal="center" vertical="center"/>
    </xf>
    <xf numFmtId="0" fontId="26" fillId="33" borderId="11" xfId="0" applyFont="1" applyFill="1" applyBorder="1" applyAlignment="1">
      <alignment horizontal="center" vertical="center"/>
    </xf>
    <xf numFmtId="0" fontId="26" fillId="33" borderId="10" xfId="0" applyFont="1" applyFill="1" applyBorder="1" applyAlignment="1">
      <alignment horizontal="center" vertical="center"/>
    </xf>
    <xf numFmtId="0" fontId="27" fillId="33" borderId="10" xfId="0" applyFont="1" applyFill="1" applyBorder="1" applyAlignment="1">
      <alignment horizontal="center" vertical="center"/>
    </xf>
    <xf numFmtId="0" fontId="26" fillId="0" borderId="13" xfId="0" applyFont="1" applyBorder="1" applyAlignment="1">
      <alignment horizontal="center" vertical="center"/>
    </xf>
    <xf numFmtId="0" fontId="20" fillId="0" borderId="0" xfId="0" applyFont="1" applyAlignment="1">
      <alignment vertical="center" wrapText="1"/>
    </xf>
    <xf numFmtId="0" fontId="20" fillId="0" borderId="0" xfId="0" applyFont="1">
      <alignment vertical="center"/>
    </xf>
    <xf numFmtId="0" fontId="28" fillId="33" borderId="10" xfId="0" applyFont="1" applyFill="1" applyBorder="1" applyAlignment="1">
      <alignment horizontal="center" vertical="center"/>
    </xf>
    <xf numFmtId="0" fontId="28" fillId="33" borderId="11" xfId="0" applyFont="1" applyFill="1" applyBorder="1" applyAlignment="1">
      <alignment horizontal="center" vertical="center"/>
    </xf>
    <xf numFmtId="0" fontId="29" fillId="0" borderId="12" xfId="0" applyFont="1" applyBorder="1" applyAlignment="1">
      <alignment horizontal="center" vertical="center"/>
    </xf>
    <xf numFmtId="0" fontId="29" fillId="34" borderId="12" xfId="0" applyFont="1" applyFill="1" applyBorder="1" applyAlignment="1">
      <alignment horizontal="center" vertical="center"/>
    </xf>
    <xf numFmtId="0" fontId="26" fillId="34" borderId="13" xfId="0" applyFont="1" applyFill="1" applyBorder="1" applyAlignment="1">
      <alignment horizontal="center" vertical="center"/>
    </xf>
    <xf numFmtId="0" fontId="26" fillId="34" borderId="12" xfId="0" applyFont="1" applyFill="1" applyBorder="1" applyAlignment="1">
      <alignment horizontal="center" vertical="center"/>
    </xf>
    <xf numFmtId="0" fontId="19" fillId="0" borderId="0" xfId="42" applyAlignment="1">
      <alignment vertical="center" wrapText="1"/>
    </xf>
    <xf numFmtId="58" fontId="20" fillId="0" borderId="0" xfId="0" applyNumberFormat="1" applyFont="1" applyAlignment="1">
      <alignment vertical="center" wrapText="1"/>
    </xf>
    <xf numFmtId="0" fontId="20" fillId="0" borderId="0" xfId="0" applyNumberFormat="1" applyFont="1" applyAlignment="1">
      <alignment vertical="center" wrapText="1"/>
    </xf>
    <xf numFmtId="0" fontId="30" fillId="0" borderId="0" xfId="0" applyFont="1" applyAlignment="1">
      <alignment vertical="center" wrapText="1"/>
    </xf>
    <xf numFmtId="0" fontId="30" fillId="35" borderId="0" xfId="0" applyFont="1" applyFill="1" applyAlignment="1">
      <alignment vertical="center" wrapText="1"/>
    </xf>
    <xf numFmtId="0" fontId="0" fillId="0" borderId="0" xfId="0" applyAlignment="1">
      <alignment vertical="center" wrapText="1"/>
    </xf>
    <xf numFmtId="0" fontId="31" fillId="0" borderId="0" xfId="0" applyFont="1" applyAlignment="1">
      <alignment vertical="center" wrapText="1"/>
    </xf>
    <xf numFmtId="0" fontId="21" fillId="0" borderId="0" xfId="0" applyFont="1">
      <alignment vertical="center"/>
    </xf>
    <xf numFmtId="0" fontId="26" fillId="0" borderId="10" xfId="0" applyFont="1" applyBorder="1">
      <alignment vertical="center"/>
    </xf>
    <xf numFmtId="0" fontId="26" fillId="0" borderId="11" xfId="0" applyFont="1" applyBorder="1">
      <alignment vertical="center"/>
    </xf>
    <xf numFmtId="0" fontId="33" fillId="0" borderId="11" xfId="0" applyFont="1" applyBorder="1" applyAlignment="1">
      <alignment horizontal="center" vertical="center"/>
    </xf>
    <xf numFmtId="0" fontId="34" fillId="36" borderId="12" xfId="0" applyFont="1" applyFill="1" applyBorder="1" applyAlignment="1">
      <alignment horizontal="center" vertical="center"/>
    </xf>
    <xf numFmtId="0" fontId="19" fillId="0" borderId="13" xfId="42" applyBorder="1" applyAlignment="1">
      <alignment horizontal="center" vertical="center"/>
    </xf>
    <xf numFmtId="0" fontId="26" fillId="0" borderId="14" xfId="0" applyFont="1" applyBorder="1" applyAlignment="1">
      <alignment horizontal="right" vertical="center"/>
    </xf>
    <xf numFmtId="0" fontId="26" fillId="0" borderId="14" xfId="0" applyFont="1" applyBorder="1">
      <alignment vertical="center"/>
    </xf>
    <xf numFmtId="0" fontId="20" fillId="34" borderId="0" xfId="0" applyFont="1" applyFill="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Tahoma"/>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Tahoma"/>
        <scheme val="none"/>
      </font>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Tahoma"/>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Tahoma"/>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1</xdr:colOff>
      <xdr:row>1</xdr:row>
      <xdr:rowOff>1</xdr:rowOff>
    </xdr:from>
    <xdr:to>
      <xdr:col>8</xdr:col>
      <xdr:colOff>1</xdr:colOff>
      <xdr:row>14</xdr:row>
      <xdr:rowOff>111500</xdr:rowOff>
    </xdr:to>
    <xdr:pic>
      <xdr:nvPicPr>
        <xdr:cNvPr id="2" name="Pictur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7226" y="180976"/>
          <a:ext cx="2743200" cy="2635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xdr:colOff>
      <xdr:row>16</xdr:row>
      <xdr:rowOff>0</xdr:rowOff>
    </xdr:from>
    <xdr:to>
      <xdr:col>8</xdr:col>
      <xdr:colOff>1</xdr:colOff>
      <xdr:row>31</xdr:row>
      <xdr:rowOff>160879</xdr:rowOff>
    </xdr:to>
    <xdr:pic>
      <xdr:nvPicPr>
        <xdr:cNvPr id="3" name="Picture 1" descr="image00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67226" y="3048000"/>
          <a:ext cx="2743200" cy="27326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id="1" name="Table1" displayName="Table1" ref="B1:L213" totalsRowShown="0" headerRowDxfId="25" dataDxfId="24">
  <autoFilter ref="B1:L213">
    <filterColumn colId="0">
      <filters blank="1">
        <dateGroupItem year="2020" month="2" day="27" dateTimeGrouping="day"/>
        <dateGroupItem year="2020" month="2" day="28" dateTimeGrouping="day"/>
      </filters>
    </filterColumn>
  </autoFilter>
  <tableColumns count="11">
    <tableColumn id="1" name="Date" dataDxfId="23"/>
    <tableColumn id="10" name="ID1" dataDxfId="22"/>
    <tableColumn id="2" name="ID2" dataDxfId="21">
      <calculatedColumnFormula>RIGHT(K2,5)</calculatedColumnFormula>
    </tableColumn>
    <tableColumn id="11" name="Section" dataDxfId="20">
      <calculatedColumnFormula>MID(F2,2,2)</calculatedColumnFormula>
    </tableColumn>
    <tableColumn id="3" name="Summary" dataDxfId="19"/>
    <tableColumn id="4" name="Desc" dataDxfId="18">
      <calculatedColumnFormula>RIGHT(F2,LEN(F2)-13)</calculatedColumnFormula>
    </tableColumn>
    <tableColumn id="5" name="Loc" dataDxfId="17"/>
    <tableColumn id="6" name="Expected" dataDxfId="16"/>
    <tableColumn id="7" name="Description" dataDxfId="15">
      <calculatedColumnFormula>CONCATENATE(G2,CHAR(10),CHAR(10),"*Location(s):*",CHAR(10),H2,CHAR(10),CHAR(10),"*Expected Results:*",CHAR(10),I2)</calculatedColumnFormula>
    </tableColumn>
    <tableColumn id="8" name="Link" dataDxfId="14"/>
    <tableColumn id="9" name="Real Link" dataDxfId="13" dataCellStyle="Hyperlink">
      <calculatedColumnFormula>HYPERLINK(K2)</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id="2" name="Table13" displayName="Table13" ref="B1:L37" totalsRowShown="0" headerRowDxfId="12" dataDxfId="11">
  <autoFilter ref="B1:L37"/>
  <tableColumns count="11">
    <tableColumn id="1" name="Date" dataDxfId="10"/>
    <tableColumn id="10" name="ID1" dataDxfId="9"/>
    <tableColumn id="2" name="ID2" dataDxfId="8">
      <calculatedColumnFormula>RIGHT(H2,5)</calculatedColumnFormula>
    </tableColumn>
    <tableColumn id="11" name="Section" dataDxfId="7">
      <calculatedColumnFormula>MID(F2,2,2)</calculatedColumnFormula>
    </tableColumn>
    <tableColumn id="3" name="Summary" dataDxfId="6"/>
    <tableColumn id="4" name="Desc" dataDxfId="5">
      <calculatedColumnFormula>RIGHT(F2,LEN(F2)-13)</calculatedColumnFormula>
    </tableColumn>
    <tableColumn id="5" name="Loc" dataDxfId="4"/>
    <tableColumn id="6" name="Expected" dataDxfId="3"/>
    <tableColumn id="7" name="Description" dataDxfId="2">
      <calculatedColumnFormula>CONCATENATE(G2,CHAR(10),CHAR(10),"*Location(s):*",CHAR(10),H2,CHAR(10),CHAR(10),"*Expected Results:*",CHAR(10),I2)</calculatedColumnFormula>
    </tableColumn>
    <tableColumn id="8" name="Link" dataDxfId="1"/>
    <tableColumn id="9" name="Real Link" dataDxfId="0" dataCellStyle="Hyperlink">
      <calculatedColumnFormula>HYPERLINK(K2)</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jira.krafton.com/browse/PUBG-40710" TargetMode="External"/><Relationship Id="rId13" Type="http://schemas.openxmlformats.org/officeDocument/2006/relationships/printerSettings" Target="../printerSettings/printerSettings1.bin"/><Relationship Id="rId3" Type="http://schemas.openxmlformats.org/officeDocument/2006/relationships/hyperlink" Target="https://jira.krafton.com/browse/PUBG-40704" TargetMode="External"/><Relationship Id="rId7" Type="http://schemas.openxmlformats.org/officeDocument/2006/relationships/hyperlink" Target="https://jira.krafton.com/browse/PUBG-40709" TargetMode="External"/><Relationship Id="rId12" Type="http://schemas.openxmlformats.org/officeDocument/2006/relationships/hyperlink" Target="https://jira.krafton.com/browse/PUBG-40717" TargetMode="External"/><Relationship Id="rId2" Type="http://schemas.openxmlformats.org/officeDocument/2006/relationships/hyperlink" Target="https://jira.krafton.com/browse/PUBG-40702" TargetMode="External"/><Relationship Id="rId1" Type="http://schemas.openxmlformats.org/officeDocument/2006/relationships/hyperlink" Target="https://jira.krafton.com/browse/PUBG-40701" TargetMode="External"/><Relationship Id="rId6" Type="http://schemas.openxmlformats.org/officeDocument/2006/relationships/hyperlink" Target="https://jira.krafton.com/browse/PUBG-40708" TargetMode="External"/><Relationship Id="rId11" Type="http://schemas.openxmlformats.org/officeDocument/2006/relationships/hyperlink" Target="https://jira.krafton.com/browse/PUBG-40714" TargetMode="External"/><Relationship Id="rId5" Type="http://schemas.openxmlformats.org/officeDocument/2006/relationships/hyperlink" Target="https://jira.krafton.com/browse/PUBG-40707" TargetMode="External"/><Relationship Id="rId10" Type="http://schemas.openxmlformats.org/officeDocument/2006/relationships/hyperlink" Target="https://jira.krafton.com/browse/PUBG-40713" TargetMode="External"/><Relationship Id="rId4" Type="http://schemas.openxmlformats.org/officeDocument/2006/relationships/hyperlink" Target="https://jira.krafton.com/browse/PUBG-40705" TargetMode="External"/><Relationship Id="rId9" Type="http://schemas.openxmlformats.org/officeDocument/2006/relationships/hyperlink" Target="https://jira.krafton.com/browse/PUBG-4071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hyperlink" Target="https://jira.krafton.com/browse/PUBG-40710" TargetMode="External"/><Relationship Id="rId13" Type="http://schemas.openxmlformats.org/officeDocument/2006/relationships/hyperlink" Target="https://jira.krafton.com/browse/PUBG-41718" TargetMode="External"/><Relationship Id="rId3" Type="http://schemas.openxmlformats.org/officeDocument/2006/relationships/hyperlink" Target="https://jira.krafton.com/browse/PUBG-40704" TargetMode="External"/><Relationship Id="rId7" Type="http://schemas.openxmlformats.org/officeDocument/2006/relationships/hyperlink" Target="https://jira.krafton.com/browse/PUBG-40709" TargetMode="External"/><Relationship Id="rId12" Type="http://schemas.openxmlformats.org/officeDocument/2006/relationships/hyperlink" Target="https://jira.krafton.com/browse/PUBG-40717" TargetMode="External"/><Relationship Id="rId17" Type="http://schemas.openxmlformats.org/officeDocument/2006/relationships/table" Target="../tables/table1.xml"/><Relationship Id="rId2" Type="http://schemas.openxmlformats.org/officeDocument/2006/relationships/hyperlink" Target="https://jira.krafton.com/browse/PUBG-40702" TargetMode="External"/><Relationship Id="rId16" Type="http://schemas.openxmlformats.org/officeDocument/2006/relationships/printerSettings" Target="../printerSettings/printerSettings5.bin"/><Relationship Id="rId1" Type="http://schemas.openxmlformats.org/officeDocument/2006/relationships/hyperlink" Target="https://jira.krafton.com/browse/PUBG-40701" TargetMode="External"/><Relationship Id="rId6" Type="http://schemas.openxmlformats.org/officeDocument/2006/relationships/hyperlink" Target="https://jira.krafton.com/browse/PUBG-40708" TargetMode="External"/><Relationship Id="rId11" Type="http://schemas.openxmlformats.org/officeDocument/2006/relationships/hyperlink" Target="https://jira.krafton.com/browse/PUBG-40714" TargetMode="External"/><Relationship Id="rId5" Type="http://schemas.openxmlformats.org/officeDocument/2006/relationships/hyperlink" Target="https://jira.krafton.com/browse/PUBG-40707" TargetMode="External"/><Relationship Id="rId15" Type="http://schemas.openxmlformats.org/officeDocument/2006/relationships/hyperlink" Target="https://jira.krafton.com/browse/PUBG-42416" TargetMode="External"/><Relationship Id="rId10" Type="http://schemas.openxmlformats.org/officeDocument/2006/relationships/hyperlink" Target="https://jira.krafton.com/browse/PUBG-40713" TargetMode="External"/><Relationship Id="rId4" Type="http://schemas.openxmlformats.org/officeDocument/2006/relationships/hyperlink" Target="https://jira.krafton.com/browse/PUBG-40705" TargetMode="External"/><Relationship Id="rId9" Type="http://schemas.openxmlformats.org/officeDocument/2006/relationships/hyperlink" Target="https://jira.krafton.com/browse/PUBG-40712" TargetMode="External"/><Relationship Id="rId14" Type="http://schemas.openxmlformats.org/officeDocument/2006/relationships/hyperlink" Target="https://jira.krafton.com/browse/PUBG-41705"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virtuos18@bluehole.net" TargetMode="External"/><Relationship Id="rId3" Type="http://schemas.openxmlformats.org/officeDocument/2006/relationships/hyperlink" Target="mailto:virtuos13@bluehole.net" TargetMode="External"/><Relationship Id="rId7" Type="http://schemas.openxmlformats.org/officeDocument/2006/relationships/hyperlink" Target="mailto:virtuos17@bluehole.net" TargetMode="External"/><Relationship Id="rId2" Type="http://schemas.openxmlformats.org/officeDocument/2006/relationships/hyperlink" Target="mailto:virtuos12@bluehole.net" TargetMode="External"/><Relationship Id="rId1" Type="http://schemas.openxmlformats.org/officeDocument/2006/relationships/hyperlink" Target="mailto:virtuos11@bluehole.net" TargetMode="External"/><Relationship Id="rId6" Type="http://schemas.openxmlformats.org/officeDocument/2006/relationships/hyperlink" Target="mailto:virtuos16@bluehole.net" TargetMode="External"/><Relationship Id="rId11" Type="http://schemas.openxmlformats.org/officeDocument/2006/relationships/drawing" Target="../drawings/drawing1.xml"/><Relationship Id="rId5" Type="http://schemas.openxmlformats.org/officeDocument/2006/relationships/hyperlink" Target="mailto:virtuos15@bluehole.net" TargetMode="External"/><Relationship Id="rId10" Type="http://schemas.openxmlformats.org/officeDocument/2006/relationships/printerSettings" Target="../printerSettings/printerSettings6.bin"/><Relationship Id="rId4" Type="http://schemas.openxmlformats.org/officeDocument/2006/relationships/hyperlink" Target="mailto:virtuos14@bluehole.net" TargetMode="External"/><Relationship Id="rId9" Type="http://schemas.openxmlformats.org/officeDocument/2006/relationships/hyperlink" Target="mailto:virtuos19@bluehole.net"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jira.krafton.com/issues/?filter=-2" TargetMode="External"/><Relationship Id="rId1" Type="http://schemas.openxmlformats.org/officeDocument/2006/relationships/hyperlink" Target="file:///\\cnshasnas001\PUBG_Live_build"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workbookViewId="0">
      <selection activeCell="B32" sqref="B32"/>
    </sheetView>
  </sheetViews>
  <sheetFormatPr defaultRowHeight="13.5" x14ac:dyDescent="0.15"/>
  <cols>
    <col min="2" max="2" width="96.125" customWidth="1"/>
  </cols>
  <sheetData>
    <row r="1" spans="1:3" x14ac:dyDescent="0.15">
      <c r="A1" t="s">
        <v>0</v>
      </c>
    </row>
    <row r="2" spans="1:3" x14ac:dyDescent="0.15">
      <c r="A2">
        <v>40801</v>
      </c>
      <c r="B2" t="s">
        <v>1</v>
      </c>
      <c r="C2">
        <v>40580</v>
      </c>
    </row>
    <row r="3" spans="1:3" x14ac:dyDescent="0.15">
      <c r="A3">
        <v>40717</v>
      </c>
      <c r="B3" t="s">
        <v>2</v>
      </c>
      <c r="C3">
        <v>40671</v>
      </c>
    </row>
    <row r="4" spans="1:3" x14ac:dyDescent="0.15">
      <c r="A4">
        <v>40714</v>
      </c>
      <c r="B4" t="s">
        <v>3</v>
      </c>
    </row>
    <row r="5" spans="1:3" x14ac:dyDescent="0.15">
      <c r="A5">
        <v>40713</v>
      </c>
      <c r="B5" t="s">
        <v>4</v>
      </c>
    </row>
    <row r="6" spans="1:3" x14ac:dyDescent="0.15">
      <c r="A6">
        <v>40712</v>
      </c>
      <c r="B6" t="s">
        <v>5</v>
      </c>
    </row>
    <row r="7" spans="1:3" x14ac:dyDescent="0.15">
      <c r="A7">
        <v>40710</v>
      </c>
      <c r="B7" t="s">
        <v>6</v>
      </c>
    </row>
    <row r="8" spans="1:3" x14ac:dyDescent="0.15">
      <c r="B8" t="s">
        <v>7</v>
      </c>
    </row>
    <row r="9" spans="1:3" x14ac:dyDescent="0.15">
      <c r="A9">
        <v>40708</v>
      </c>
      <c r="B9" t="s">
        <v>31</v>
      </c>
    </row>
    <row r="10" spans="1:3" x14ac:dyDescent="0.15">
      <c r="B10" t="s">
        <v>8</v>
      </c>
    </row>
    <row r="11" spans="1:3" x14ac:dyDescent="0.15">
      <c r="B11" t="s">
        <v>9</v>
      </c>
    </row>
    <row r="12" spans="1:3" x14ac:dyDescent="0.15">
      <c r="B12" t="s">
        <v>10</v>
      </c>
    </row>
    <row r="13" spans="1:3" x14ac:dyDescent="0.15">
      <c r="B13" t="s">
        <v>11</v>
      </c>
    </row>
    <row r="14" spans="1:3" x14ac:dyDescent="0.15">
      <c r="B14" t="s">
        <v>12</v>
      </c>
    </row>
    <row r="15" spans="1:3" x14ac:dyDescent="0.15">
      <c r="B15" t="s">
        <v>13</v>
      </c>
    </row>
    <row r="16" spans="1:3" x14ac:dyDescent="0.15">
      <c r="B16" t="s">
        <v>14</v>
      </c>
    </row>
    <row r="17" spans="2:2" x14ac:dyDescent="0.15">
      <c r="B17" t="s">
        <v>15</v>
      </c>
    </row>
    <row r="18" spans="2:2" x14ac:dyDescent="0.15">
      <c r="B18" t="s">
        <v>12</v>
      </c>
    </row>
    <row r="19" spans="2:2" x14ac:dyDescent="0.15">
      <c r="B19" t="s">
        <v>16</v>
      </c>
    </row>
    <row r="20" spans="2:2" x14ac:dyDescent="0.15">
      <c r="B20" t="s">
        <v>17</v>
      </c>
    </row>
    <row r="21" spans="2:2" x14ac:dyDescent="0.15">
      <c r="B21" t="s">
        <v>18</v>
      </c>
    </row>
    <row r="22" spans="2:2" x14ac:dyDescent="0.15">
      <c r="B22" t="s">
        <v>19</v>
      </c>
    </row>
    <row r="23" spans="2:2" x14ac:dyDescent="0.15">
      <c r="B23" t="s">
        <v>20</v>
      </c>
    </row>
    <row r="24" spans="2:2" x14ac:dyDescent="0.15">
      <c r="B24" t="s">
        <v>21</v>
      </c>
    </row>
    <row r="25" spans="2:2" x14ac:dyDescent="0.15">
      <c r="B25" t="s">
        <v>22</v>
      </c>
    </row>
    <row r="26" spans="2:2" x14ac:dyDescent="0.15">
      <c r="B26" t="s">
        <v>23</v>
      </c>
    </row>
    <row r="27" spans="2:2" x14ac:dyDescent="0.15">
      <c r="B27" t="s">
        <v>24</v>
      </c>
    </row>
    <row r="28" spans="2:2" x14ac:dyDescent="0.15">
      <c r="B28" t="s">
        <v>25</v>
      </c>
    </row>
    <row r="29" spans="2:2" x14ac:dyDescent="0.15">
      <c r="B29" t="s">
        <v>26</v>
      </c>
    </row>
    <row r="30" spans="2:2" x14ac:dyDescent="0.15">
      <c r="B30" t="s">
        <v>27</v>
      </c>
    </row>
    <row r="31" spans="2:2" x14ac:dyDescent="0.15">
      <c r="B31" t="s">
        <v>28</v>
      </c>
    </row>
    <row r="32" spans="2:2" x14ac:dyDescent="0.15">
      <c r="B32" t="s">
        <v>29</v>
      </c>
    </row>
    <row r="33" spans="2:2" x14ac:dyDescent="0.15">
      <c r="B33" t="s">
        <v>30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zoomScale="85" zoomScaleNormal="85" workbookViewId="0">
      <selection activeCell="E13" sqref="E2:E13"/>
    </sheetView>
  </sheetViews>
  <sheetFormatPr defaultRowHeight="12.75" x14ac:dyDescent="0.15"/>
  <cols>
    <col min="1" max="1" width="6" style="16" customWidth="1"/>
    <col min="2" max="2" width="6.625" style="16" bestFit="1" customWidth="1"/>
    <col min="3" max="3" width="54.25" style="16" bestFit="1" customWidth="1"/>
    <col min="4" max="4" width="28.25" style="16" customWidth="1"/>
    <col min="5" max="5" width="43.25" style="16" customWidth="1"/>
    <col min="6" max="6" width="47.125" style="16" bestFit="1" customWidth="1"/>
    <col min="7" max="16384" width="9" style="16"/>
  </cols>
  <sheetData>
    <row r="1" spans="1:6" x14ac:dyDescent="0.15">
      <c r="A1" s="16" t="s">
        <v>75</v>
      </c>
      <c r="B1" s="16" t="s">
        <v>108</v>
      </c>
      <c r="C1" s="16" t="s">
        <v>32</v>
      </c>
      <c r="D1" s="16" t="s">
        <v>33</v>
      </c>
      <c r="E1" s="16" t="s">
        <v>107</v>
      </c>
      <c r="F1" s="16" t="s">
        <v>109</v>
      </c>
    </row>
    <row r="2" spans="1:6" ht="13.5" x14ac:dyDescent="0.15">
      <c r="B2" s="15"/>
      <c r="C2" s="16" t="s">
        <v>154</v>
      </c>
      <c r="D2" s="15"/>
      <c r="E2" s="4" t="s">
        <v>153</v>
      </c>
      <c r="F2" s="9"/>
    </row>
    <row r="3" spans="1:6" ht="13.5" x14ac:dyDescent="0.15">
      <c r="B3" s="15"/>
      <c r="C3" s="16" t="s">
        <v>155</v>
      </c>
      <c r="D3" s="15"/>
      <c r="E3" s="9" t="s">
        <v>156</v>
      </c>
      <c r="F3" s="9"/>
    </row>
    <row r="4" spans="1:6" ht="13.5" x14ac:dyDescent="0.15">
      <c r="B4" s="15"/>
      <c r="C4" s="16" t="s">
        <v>157</v>
      </c>
      <c r="D4" s="15"/>
      <c r="E4" s="9" t="s">
        <v>158</v>
      </c>
      <c r="F4" s="9"/>
    </row>
    <row r="5" spans="1:6" ht="13.5" x14ac:dyDescent="0.15">
      <c r="B5" s="15"/>
      <c r="C5" s="16" t="s">
        <v>157</v>
      </c>
      <c r="D5" s="15"/>
      <c r="E5" s="9" t="s">
        <v>159</v>
      </c>
      <c r="F5" s="9"/>
    </row>
    <row r="6" spans="1:6" ht="13.5" x14ac:dyDescent="0.15">
      <c r="B6" s="15"/>
      <c r="C6" s="16" t="s">
        <v>161</v>
      </c>
      <c r="D6" s="15"/>
      <c r="E6" s="9" t="s">
        <v>160</v>
      </c>
      <c r="F6" s="9"/>
    </row>
    <row r="7" spans="1:6" ht="13.5" x14ac:dyDescent="0.15">
      <c r="B7" s="15"/>
      <c r="C7" s="16" t="s">
        <v>163</v>
      </c>
      <c r="D7" s="15"/>
      <c r="E7" s="9" t="s">
        <v>162</v>
      </c>
      <c r="F7" s="9"/>
    </row>
    <row r="8" spans="1:6" ht="13.5" x14ac:dyDescent="0.15">
      <c r="B8" s="15"/>
      <c r="C8" s="16" t="s">
        <v>163</v>
      </c>
      <c r="D8" s="15"/>
      <c r="E8" s="9" t="s">
        <v>164</v>
      </c>
      <c r="F8" s="9"/>
    </row>
    <row r="9" spans="1:6" ht="13.5" x14ac:dyDescent="0.15">
      <c r="B9" s="15"/>
      <c r="C9" s="16" t="s">
        <v>166</v>
      </c>
      <c r="D9" s="15"/>
      <c r="E9" s="9" t="s">
        <v>165</v>
      </c>
      <c r="F9" s="9"/>
    </row>
    <row r="10" spans="1:6" ht="13.5" x14ac:dyDescent="0.15">
      <c r="B10" s="15"/>
      <c r="C10" s="16" t="s">
        <v>168</v>
      </c>
      <c r="D10" s="15"/>
      <c r="E10" s="9" t="s">
        <v>167</v>
      </c>
      <c r="F10" s="9"/>
    </row>
    <row r="11" spans="1:6" ht="13.5" x14ac:dyDescent="0.15">
      <c r="B11" s="15"/>
      <c r="C11" s="16" t="s">
        <v>170</v>
      </c>
      <c r="D11" s="15"/>
      <c r="E11" s="9" t="s">
        <v>169</v>
      </c>
      <c r="F11" s="9"/>
    </row>
    <row r="12" spans="1:6" ht="13.5" x14ac:dyDescent="0.15">
      <c r="B12" s="15"/>
      <c r="C12" s="16" t="s">
        <v>172</v>
      </c>
      <c r="D12" s="15"/>
      <c r="E12" s="9" t="s">
        <v>171</v>
      </c>
      <c r="F12" s="9"/>
    </row>
    <row r="13" spans="1:6" ht="13.5" x14ac:dyDescent="0.15">
      <c r="B13" s="15"/>
      <c r="C13" s="16" t="s">
        <v>174</v>
      </c>
      <c r="D13" s="15"/>
      <c r="E13" s="9" t="s">
        <v>173</v>
      </c>
      <c r="F13" s="9"/>
    </row>
    <row r="14" spans="1:6" ht="13.5" x14ac:dyDescent="0.15">
      <c r="B14" s="15"/>
      <c r="D14" s="15"/>
      <c r="F14" s="9"/>
    </row>
    <row r="15" spans="1:6" ht="13.5" x14ac:dyDescent="0.15">
      <c r="B15" s="15"/>
      <c r="D15" s="15"/>
      <c r="F15" s="9"/>
    </row>
    <row r="16" spans="1:6" ht="13.5" x14ac:dyDescent="0.15">
      <c r="B16" s="15"/>
      <c r="D16" s="15"/>
      <c r="F16" s="9"/>
    </row>
    <row r="17" spans="2:6" ht="13.5" x14ac:dyDescent="0.15">
      <c r="B17" s="15"/>
      <c r="D17" s="15"/>
      <c r="F17" s="9"/>
    </row>
    <row r="18" spans="2:6" ht="13.5" x14ac:dyDescent="0.15">
      <c r="B18" s="15"/>
      <c r="D18" s="15"/>
      <c r="F18" s="9"/>
    </row>
    <row r="19" spans="2:6" ht="13.5" x14ac:dyDescent="0.15">
      <c r="B19" s="15"/>
      <c r="D19" s="15"/>
      <c r="F19" s="9"/>
    </row>
    <row r="20" spans="2:6" ht="13.5" x14ac:dyDescent="0.15">
      <c r="B20" s="15"/>
      <c r="D20" s="15"/>
      <c r="F20" s="9"/>
    </row>
    <row r="21" spans="2:6" ht="13.5" x14ac:dyDescent="0.15">
      <c r="B21" s="15"/>
      <c r="D21" s="15"/>
      <c r="F21" s="9"/>
    </row>
    <row r="22" spans="2:6" ht="13.5" x14ac:dyDescent="0.15">
      <c r="B22" s="15"/>
      <c r="D22" s="15"/>
      <c r="F22" s="9"/>
    </row>
    <row r="23" spans="2:6" ht="13.5" x14ac:dyDescent="0.15">
      <c r="B23" s="15"/>
      <c r="D23" s="15"/>
      <c r="F23" s="9"/>
    </row>
    <row r="24" spans="2:6" ht="13.5" x14ac:dyDescent="0.15">
      <c r="B24" s="15"/>
      <c r="D24" s="15"/>
      <c r="F24" s="9"/>
    </row>
    <row r="25" spans="2:6" ht="13.5" x14ac:dyDescent="0.15">
      <c r="B25" s="15"/>
      <c r="D25" s="15"/>
      <c r="F25" s="9"/>
    </row>
    <row r="26" spans="2:6" ht="13.5" x14ac:dyDescent="0.15">
      <c r="B26" s="15"/>
      <c r="D26" s="15"/>
      <c r="F26" s="9"/>
    </row>
    <row r="27" spans="2:6" ht="13.5" x14ac:dyDescent="0.15">
      <c r="B27" s="15"/>
      <c r="D27" s="15"/>
      <c r="F27" s="9"/>
    </row>
  </sheetData>
  <autoFilter ref="A1:F27"/>
  <phoneticPr fontId="1" type="noConversion"/>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pageSetup paperSize="9"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A22" zoomScale="55" zoomScaleNormal="55" workbookViewId="0">
      <selection activeCell="A2" sqref="A2:F27"/>
    </sheetView>
  </sheetViews>
  <sheetFormatPr defaultRowHeight="12.75" x14ac:dyDescent="0.15"/>
  <cols>
    <col min="1" max="1" width="6" style="2" customWidth="1"/>
    <col min="2" max="2" width="6.625" style="16" bestFit="1" customWidth="1"/>
    <col min="3" max="3" width="54.25" style="2" bestFit="1" customWidth="1"/>
    <col min="4" max="4" width="63.375" style="2" customWidth="1"/>
    <col min="5" max="5" width="37.125" style="2" customWidth="1"/>
    <col min="6" max="6" width="47.125" style="2" bestFit="1" customWidth="1"/>
    <col min="7" max="16384" width="9" style="2"/>
  </cols>
  <sheetData>
    <row r="1" spans="1:6" x14ac:dyDescent="0.15">
      <c r="A1" s="2" t="s">
        <v>75</v>
      </c>
      <c r="B1" s="16" t="s">
        <v>108</v>
      </c>
      <c r="C1" s="2" t="s">
        <v>32</v>
      </c>
      <c r="D1" s="2" t="s">
        <v>33</v>
      </c>
      <c r="E1" s="2" t="s">
        <v>107</v>
      </c>
      <c r="F1" s="2" t="s">
        <v>109</v>
      </c>
    </row>
    <row r="2" spans="1:6" ht="89.25" x14ac:dyDescent="0.15">
      <c r="A2" s="2">
        <v>1</v>
      </c>
      <c r="B2" s="15" t="str">
        <f t="shared" ref="B2:B27" si="0">RIGHT(E2,5)</f>
        <v>40956</v>
      </c>
      <c r="C2" s="2" t="s">
        <v>76</v>
      </c>
      <c r="D2" s="1" t="s">
        <v>34</v>
      </c>
      <c r="E2" s="2" t="s">
        <v>77</v>
      </c>
      <c r="F2" s="9" t="str">
        <f>HYPERLINK(E2)</f>
        <v>https://jira.krafton.com/browse/PUBG-40956</v>
      </c>
    </row>
    <row r="3" spans="1:6" ht="114.75" x14ac:dyDescent="0.15">
      <c r="A3" s="2">
        <v>2</v>
      </c>
      <c r="B3" s="15" t="str">
        <f t="shared" si="0"/>
        <v>40957</v>
      </c>
      <c r="C3" s="2" t="s">
        <v>35</v>
      </c>
      <c r="D3" s="1" t="s">
        <v>36</v>
      </c>
      <c r="E3" s="2" t="s">
        <v>78</v>
      </c>
      <c r="F3" s="9" t="str">
        <f t="shared" ref="F3:F27" si="1">HYPERLINK(E3)</f>
        <v>https://jira.krafton.com/browse/PUBG-40957</v>
      </c>
    </row>
    <row r="4" spans="1:6" ht="114.75" x14ac:dyDescent="0.15">
      <c r="A4" s="2">
        <v>3</v>
      </c>
      <c r="B4" s="15" t="str">
        <f t="shared" si="0"/>
        <v>40958</v>
      </c>
      <c r="C4" s="2" t="s">
        <v>37</v>
      </c>
      <c r="D4" s="1" t="s">
        <v>79</v>
      </c>
      <c r="E4" s="2" t="s">
        <v>80</v>
      </c>
      <c r="F4" s="9" t="str">
        <f t="shared" si="1"/>
        <v>https://jira.krafton.com/browse/PUBG-40958</v>
      </c>
    </row>
    <row r="5" spans="1:6" ht="102" x14ac:dyDescent="0.15">
      <c r="A5" s="2">
        <v>4</v>
      </c>
      <c r="B5" s="15" t="str">
        <f t="shared" si="0"/>
        <v>40959</v>
      </c>
      <c r="C5" s="2" t="s">
        <v>38</v>
      </c>
      <c r="D5" s="1" t="s">
        <v>81</v>
      </c>
      <c r="E5" s="2" t="s">
        <v>82</v>
      </c>
      <c r="F5" s="9" t="str">
        <f t="shared" si="1"/>
        <v>https://jira.krafton.com/browse/PUBG-40959</v>
      </c>
    </row>
    <row r="6" spans="1:6" ht="89.25" x14ac:dyDescent="0.15">
      <c r="A6" s="2">
        <v>5</v>
      </c>
      <c r="B6" s="15" t="str">
        <f t="shared" si="0"/>
        <v>40960</v>
      </c>
      <c r="C6" s="2" t="s">
        <v>39</v>
      </c>
      <c r="D6" s="1" t="s">
        <v>83</v>
      </c>
      <c r="E6" s="2" t="s">
        <v>84</v>
      </c>
      <c r="F6" s="9" t="str">
        <f t="shared" si="1"/>
        <v>https://jira.krafton.com/browse/PUBG-40960</v>
      </c>
    </row>
    <row r="7" spans="1:6" ht="102" x14ac:dyDescent="0.15">
      <c r="A7" s="2">
        <v>6</v>
      </c>
      <c r="B7" s="15" t="str">
        <f t="shared" si="0"/>
        <v>40961</v>
      </c>
      <c r="C7" s="2" t="s">
        <v>40</v>
      </c>
      <c r="D7" s="1" t="s">
        <v>85</v>
      </c>
      <c r="E7" s="2" t="s">
        <v>86</v>
      </c>
      <c r="F7" s="9" t="str">
        <f t="shared" si="1"/>
        <v>https://jira.krafton.com/browse/PUBG-40961</v>
      </c>
    </row>
    <row r="8" spans="1:6" ht="102" x14ac:dyDescent="0.15">
      <c r="A8" s="2">
        <v>7</v>
      </c>
      <c r="B8" s="15" t="str">
        <f t="shared" si="0"/>
        <v>40962</v>
      </c>
      <c r="C8" s="2" t="s">
        <v>43</v>
      </c>
      <c r="D8" s="1" t="s">
        <v>42</v>
      </c>
      <c r="E8" s="2" t="s">
        <v>87</v>
      </c>
      <c r="F8" s="9" t="str">
        <f t="shared" si="1"/>
        <v>https://jira.krafton.com/browse/PUBG-40962</v>
      </c>
    </row>
    <row r="9" spans="1:6" ht="102" x14ac:dyDescent="0.15">
      <c r="A9" s="2">
        <v>8</v>
      </c>
      <c r="B9" s="15" t="str">
        <f t="shared" si="0"/>
        <v>40963</v>
      </c>
      <c r="C9" s="2" t="s">
        <v>45</v>
      </c>
      <c r="D9" s="1" t="s">
        <v>44</v>
      </c>
      <c r="E9" s="2" t="s">
        <v>88</v>
      </c>
      <c r="F9" s="9" t="str">
        <f t="shared" si="1"/>
        <v>https://jira.krafton.com/browse/PUBG-40963</v>
      </c>
    </row>
    <row r="10" spans="1:6" ht="102" x14ac:dyDescent="0.15">
      <c r="A10" s="2">
        <v>9</v>
      </c>
      <c r="B10" s="15" t="str">
        <f t="shared" si="0"/>
        <v>40964</v>
      </c>
      <c r="C10" s="2" t="s">
        <v>46</v>
      </c>
      <c r="D10" s="1" t="s">
        <v>47</v>
      </c>
      <c r="E10" s="2" t="s">
        <v>89</v>
      </c>
      <c r="F10" s="9" t="str">
        <f t="shared" si="1"/>
        <v>https://jira.krafton.com/browse/PUBG-40964</v>
      </c>
    </row>
    <row r="11" spans="1:6" ht="153" x14ac:dyDescent="0.15">
      <c r="A11" s="2">
        <v>10</v>
      </c>
      <c r="B11" s="15" t="str">
        <f t="shared" si="0"/>
        <v>40965</v>
      </c>
      <c r="C11" s="2" t="s">
        <v>49</v>
      </c>
      <c r="D11" s="1" t="s">
        <v>50</v>
      </c>
      <c r="E11" s="2" t="s">
        <v>90</v>
      </c>
      <c r="F11" s="9" t="str">
        <f t="shared" si="1"/>
        <v>https://jira.krafton.com/browse/PUBG-40965</v>
      </c>
    </row>
    <row r="12" spans="1:6" ht="102" x14ac:dyDescent="0.15">
      <c r="A12" s="2">
        <v>11</v>
      </c>
      <c r="B12" s="15" t="str">
        <f t="shared" si="0"/>
        <v>40966</v>
      </c>
      <c r="C12" s="16" t="s">
        <v>48</v>
      </c>
      <c r="D12" s="15" t="s">
        <v>53</v>
      </c>
      <c r="E12" s="2" t="s">
        <v>91</v>
      </c>
      <c r="F12" s="9" t="str">
        <f t="shared" si="1"/>
        <v>https://jira.krafton.com/browse/PUBG-40966</v>
      </c>
    </row>
    <row r="13" spans="1:6" ht="102" x14ac:dyDescent="0.15">
      <c r="A13" s="2">
        <v>12</v>
      </c>
      <c r="B13" s="15" t="str">
        <f t="shared" si="0"/>
        <v>40967</v>
      </c>
      <c r="C13" s="16" t="s">
        <v>48</v>
      </c>
      <c r="D13" s="15" t="s">
        <v>55</v>
      </c>
      <c r="E13" s="2" t="s">
        <v>92</v>
      </c>
      <c r="F13" s="9" t="str">
        <f t="shared" si="1"/>
        <v>https://jira.krafton.com/browse/PUBG-40967</v>
      </c>
    </row>
    <row r="14" spans="1:6" ht="102" x14ac:dyDescent="0.15">
      <c r="A14" s="2">
        <v>13</v>
      </c>
      <c r="B14" s="15" t="str">
        <f t="shared" si="0"/>
        <v>40968</v>
      </c>
      <c r="C14" s="16" t="s">
        <v>51</v>
      </c>
      <c r="D14" s="15" t="s">
        <v>52</v>
      </c>
      <c r="E14" s="2" t="s">
        <v>93</v>
      </c>
      <c r="F14" s="9" t="str">
        <f t="shared" si="1"/>
        <v>https://jira.krafton.com/browse/PUBG-40968</v>
      </c>
    </row>
    <row r="15" spans="1:6" ht="102" x14ac:dyDescent="0.15">
      <c r="A15" s="2">
        <v>14</v>
      </c>
      <c r="B15" s="15" t="str">
        <f t="shared" si="0"/>
        <v>40969</v>
      </c>
      <c r="C15" s="16" t="s">
        <v>48</v>
      </c>
      <c r="D15" s="15" t="s">
        <v>54</v>
      </c>
      <c r="E15" s="2" t="s">
        <v>94</v>
      </c>
      <c r="F15" s="9" t="str">
        <f t="shared" si="1"/>
        <v>https://jira.krafton.com/browse/PUBG-40969</v>
      </c>
    </row>
    <row r="16" spans="1:6" ht="140.25" x14ac:dyDescent="0.15">
      <c r="A16" s="2">
        <v>15</v>
      </c>
      <c r="B16" s="15" t="str">
        <f t="shared" si="0"/>
        <v>40970</v>
      </c>
      <c r="C16" s="16" t="s">
        <v>57</v>
      </c>
      <c r="D16" s="15" t="s">
        <v>56</v>
      </c>
      <c r="E16" s="2" t="s">
        <v>95</v>
      </c>
      <c r="F16" s="9" t="str">
        <f t="shared" si="1"/>
        <v>https://jira.krafton.com/browse/PUBG-40970</v>
      </c>
    </row>
    <row r="17" spans="1:6" ht="102" x14ac:dyDescent="0.15">
      <c r="A17" s="2">
        <v>16</v>
      </c>
      <c r="B17" s="15" t="str">
        <f t="shared" si="0"/>
        <v>40971</v>
      </c>
      <c r="C17" s="2" t="s">
        <v>58</v>
      </c>
      <c r="D17" s="1" t="s">
        <v>59</v>
      </c>
      <c r="E17" s="2" t="s">
        <v>96</v>
      </c>
      <c r="F17" s="9" t="str">
        <f t="shared" si="1"/>
        <v>https://jira.krafton.com/browse/PUBG-40971</v>
      </c>
    </row>
    <row r="18" spans="1:6" ht="102" x14ac:dyDescent="0.15">
      <c r="A18" s="2">
        <v>17</v>
      </c>
      <c r="B18" s="15" t="str">
        <f t="shared" si="0"/>
        <v>40972</v>
      </c>
      <c r="C18" s="2" t="s">
        <v>60</v>
      </c>
      <c r="D18" s="1" t="s">
        <v>61</v>
      </c>
      <c r="E18" s="2" t="s">
        <v>97</v>
      </c>
      <c r="F18" s="9" t="str">
        <f t="shared" si="1"/>
        <v>https://jira.krafton.com/browse/PUBG-40972</v>
      </c>
    </row>
    <row r="19" spans="1:6" ht="102" x14ac:dyDescent="0.15">
      <c r="A19" s="2">
        <v>18</v>
      </c>
      <c r="B19" s="15" t="str">
        <f t="shared" si="0"/>
        <v>40973</v>
      </c>
      <c r="C19" s="16" t="s">
        <v>60</v>
      </c>
      <c r="D19" s="15" t="s">
        <v>62</v>
      </c>
      <c r="E19" s="2" t="s">
        <v>98</v>
      </c>
      <c r="F19" s="9" t="str">
        <f t="shared" si="1"/>
        <v>https://jira.krafton.com/browse/PUBG-40973</v>
      </c>
    </row>
    <row r="20" spans="1:6" ht="102" x14ac:dyDescent="0.15">
      <c r="A20" s="2">
        <v>19</v>
      </c>
      <c r="B20" s="15" t="str">
        <f t="shared" si="0"/>
        <v>40974</v>
      </c>
      <c r="C20" s="16" t="s">
        <v>60</v>
      </c>
      <c r="D20" s="15" t="s">
        <v>63</v>
      </c>
      <c r="E20" s="2" t="s">
        <v>99</v>
      </c>
      <c r="F20" s="9" t="str">
        <f t="shared" si="1"/>
        <v>https://jira.krafton.com/browse/PUBG-40974</v>
      </c>
    </row>
    <row r="21" spans="1:6" ht="102" x14ac:dyDescent="0.15">
      <c r="A21" s="16">
        <v>20</v>
      </c>
      <c r="B21" s="15" t="str">
        <f t="shared" si="0"/>
        <v>40975</v>
      </c>
      <c r="C21" s="16" t="s">
        <v>60</v>
      </c>
      <c r="D21" s="15" t="s">
        <v>64</v>
      </c>
      <c r="E21" s="2" t="s">
        <v>100</v>
      </c>
      <c r="F21" s="9" t="str">
        <f t="shared" si="1"/>
        <v>https://jira.krafton.com/browse/PUBG-40975</v>
      </c>
    </row>
    <row r="22" spans="1:6" ht="102" x14ac:dyDescent="0.15">
      <c r="A22" s="16">
        <v>21</v>
      </c>
      <c r="B22" s="15" t="str">
        <f t="shared" si="0"/>
        <v>40976</v>
      </c>
      <c r="C22" s="16" t="s">
        <v>60</v>
      </c>
      <c r="D22" s="15" t="s">
        <v>65</v>
      </c>
      <c r="E22" s="2" t="s">
        <v>101</v>
      </c>
      <c r="F22" s="9" t="str">
        <f t="shared" si="1"/>
        <v>https://jira.krafton.com/browse/PUBG-40976</v>
      </c>
    </row>
    <row r="23" spans="1:6" ht="102" x14ac:dyDescent="0.15">
      <c r="A23" s="16">
        <v>22</v>
      </c>
      <c r="B23" s="15" t="str">
        <f t="shared" si="0"/>
        <v>40977</v>
      </c>
      <c r="C23" s="16" t="s">
        <v>66</v>
      </c>
      <c r="D23" s="15" t="s">
        <v>67</v>
      </c>
      <c r="E23" s="2" t="s">
        <v>102</v>
      </c>
      <c r="F23" s="9" t="str">
        <f t="shared" si="1"/>
        <v>https://jira.krafton.com/browse/PUBG-40977</v>
      </c>
    </row>
    <row r="24" spans="1:6" ht="102" x14ac:dyDescent="0.15">
      <c r="A24" s="16">
        <v>23</v>
      </c>
      <c r="B24" s="15" t="str">
        <f t="shared" si="0"/>
        <v>40978</v>
      </c>
      <c r="C24" s="16" t="s">
        <v>60</v>
      </c>
      <c r="D24" s="15" t="s">
        <v>68</v>
      </c>
      <c r="E24" s="2" t="s">
        <v>103</v>
      </c>
      <c r="F24" s="9" t="str">
        <f t="shared" si="1"/>
        <v>https://jira.krafton.com/browse/PUBG-40978</v>
      </c>
    </row>
    <row r="25" spans="1:6" ht="102" x14ac:dyDescent="0.15">
      <c r="A25" s="16">
        <v>24</v>
      </c>
      <c r="B25" s="15" t="str">
        <f t="shared" si="0"/>
        <v>40979</v>
      </c>
      <c r="C25" s="16" t="s">
        <v>69</v>
      </c>
      <c r="D25" s="15" t="s">
        <v>70</v>
      </c>
      <c r="E25" s="2" t="s">
        <v>104</v>
      </c>
      <c r="F25" s="9" t="str">
        <f t="shared" si="1"/>
        <v>https://jira.krafton.com/browse/PUBG-40979</v>
      </c>
    </row>
    <row r="26" spans="1:6" ht="114.75" x14ac:dyDescent="0.15">
      <c r="A26" s="16">
        <v>25</v>
      </c>
      <c r="B26" s="15" t="str">
        <f t="shared" si="0"/>
        <v>40980</v>
      </c>
      <c r="C26" s="16" t="s">
        <v>71</v>
      </c>
      <c r="D26" s="15" t="s">
        <v>72</v>
      </c>
      <c r="E26" s="2" t="s">
        <v>105</v>
      </c>
      <c r="F26" s="9" t="str">
        <f t="shared" si="1"/>
        <v>https://jira.krafton.com/browse/PUBG-40980</v>
      </c>
    </row>
    <row r="27" spans="1:6" ht="114.75" x14ac:dyDescent="0.15">
      <c r="A27" s="16">
        <v>26</v>
      </c>
      <c r="B27" s="15" t="str">
        <f t="shared" si="0"/>
        <v>40981</v>
      </c>
      <c r="C27" s="16" t="s">
        <v>74</v>
      </c>
      <c r="D27" s="15" t="s">
        <v>73</v>
      </c>
      <c r="E27" s="2" t="s">
        <v>106</v>
      </c>
      <c r="F27" s="9" t="str">
        <f t="shared" si="1"/>
        <v>https://jira.krafton.com/browse/PUBG-40981</v>
      </c>
    </row>
  </sheetData>
  <autoFilter ref="A1:F27"/>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zoomScale="70" zoomScaleNormal="70" workbookViewId="0">
      <selection activeCell="A2" sqref="A2:F10"/>
    </sheetView>
  </sheetViews>
  <sheetFormatPr defaultRowHeight="12.75" x14ac:dyDescent="0.15"/>
  <cols>
    <col min="1" max="1" width="6" style="16" customWidth="1"/>
    <col min="2" max="2" width="6.625" style="16" bestFit="1" customWidth="1"/>
    <col min="3" max="3" width="54.25" style="16" bestFit="1" customWidth="1"/>
    <col min="4" max="4" width="63.375" style="16" customWidth="1"/>
    <col min="5" max="5" width="37.125" style="16" customWidth="1"/>
    <col min="6" max="6" width="47.125" style="16" bestFit="1" customWidth="1"/>
    <col min="7" max="16384" width="9" style="16"/>
  </cols>
  <sheetData>
    <row r="1" spans="1:6" x14ac:dyDescent="0.15">
      <c r="A1" s="16" t="s">
        <v>75</v>
      </c>
      <c r="B1" s="16" t="s">
        <v>108</v>
      </c>
      <c r="C1" s="16" t="s">
        <v>32</v>
      </c>
      <c r="D1" s="16" t="s">
        <v>33</v>
      </c>
      <c r="E1" s="16" t="s">
        <v>107</v>
      </c>
      <c r="F1" s="16" t="s">
        <v>109</v>
      </c>
    </row>
    <row r="2" spans="1:6" ht="280.5" x14ac:dyDescent="0.15">
      <c r="A2" s="16">
        <v>27</v>
      </c>
      <c r="B2" s="15" t="str">
        <f t="shared" ref="B2:B10" si="0">RIGHT(E2,5)</f>
        <v>41121</v>
      </c>
      <c r="C2" s="16" t="s">
        <v>112</v>
      </c>
      <c r="D2" s="15" t="s">
        <v>113</v>
      </c>
      <c r="E2" s="16" t="s">
        <v>145</v>
      </c>
      <c r="F2" s="9" t="str">
        <f t="shared" ref="F2:F13" si="1">HYPERLINK(E2)</f>
        <v>https://jira.krafton.com/browse/PUBG-41121</v>
      </c>
    </row>
    <row r="3" spans="1:6" ht="140.25" x14ac:dyDescent="0.15">
      <c r="A3" s="16">
        <v>28</v>
      </c>
      <c r="B3" s="15" t="str">
        <f t="shared" si="0"/>
        <v>41122</v>
      </c>
      <c r="C3" s="16" t="s">
        <v>110</v>
      </c>
      <c r="D3" s="15" t="s">
        <v>111</v>
      </c>
      <c r="E3" s="16" t="s">
        <v>146</v>
      </c>
      <c r="F3" s="9" t="str">
        <f t="shared" si="1"/>
        <v>https://jira.krafton.com/browse/PUBG-41122</v>
      </c>
    </row>
    <row r="4" spans="1:6" ht="102" x14ac:dyDescent="0.15">
      <c r="A4" s="16">
        <v>29</v>
      </c>
      <c r="B4" s="15" t="str">
        <f t="shared" si="0"/>
        <v>41123</v>
      </c>
      <c r="C4" s="16" t="s">
        <v>114</v>
      </c>
      <c r="D4" s="15" t="s">
        <v>115</v>
      </c>
      <c r="E4" s="16" t="s">
        <v>147</v>
      </c>
      <c r="F4" s="9" t="str">
        <f t="shared" si="1"/>
        <v>https://jira.krafton.com/browse/PUBG-41123</v>
      </c>
    </row>
    <row r="5" spans="1:6" ht="118.5" customHeight="1" x14ac:dyDescent="0.15">
      <c r="A5" s="16">
        <v>30</v>
      </c>
      <c r="B5" s="15" t="str">
        <f t="shared" si="0"/>
        <v>41124</v>
      </c>
      <c r="C5" s="16" t="s">
        <v>116</v>
      </c>
      <c r="D5" s="15" t="s">
        <v>117</v>
      </c>
      <c r="E5" s="16" t="s">
        <v>148</v>
      </c>
      <c r="F5" s="9" t="str">
        <f t="shared" si="1"/>
        <v>https://jira.krafton.com/browse/PUBG-41124</v>
      </c>
    </row>
    <row r="6" spans="1:6" ht="140.25" x14ac:dyDescent="0.15">
      <c r="A6" s="16">
        <v>31</v>
      </c>
      <c r="B6" s="15" t="str">
        <f t="shared" si="0"/>
        <v>41125</v>
      </c>
      <c r="C6" s="16" t="s">
        <v>118</v>
      </c>
      <c r="D6" s="15" t="s">
        <v>119</v>
      </c>
      <c r="E6" s="16" t="s">
        <v>149</v>
      </c>
      <c r="F6" s="9" t="str">
        <f t="shared" si="1"/>
        <v>https://jira.krafton.com/browse/PUBG-41125</v>
      </c>
    </row>
    <row r="7" spans="1:6" ht="102" x14ac:dyDescent="0.15">
      <c r="A7" s="16">
        <v>32</v>
      </c>
      <c r="B7" s="15" t="str">
        <f t="shared" si="0"/>
        <v>41126</v>
      </c>
      <c r="C7" s="16" t="s">
        <v>120</v>
      </c>
      <c r="D7" s="15" t="s">
        <v>134</v>
      </c>
      <c r="E7" s="16" t="s">
        <v>150</v>
      </c>
      <c r="F7" s="9" t="str">
        <f t="shared" si="1"/>
        <v>https://jira.krafton.com/browse/PUBG-41126</v>
      </c>
    </row>
    <row r="8" spans="1:6" ht="102" x14ac:dyDescent="0.15">
      <c r="A8" s="16">
        <v>33</v>
      </c>
      <c r="B8" s="15" t="str">
        <f t="shared" si="0"/>
        <v>41127</v>
      </c>
      <c r="C8" s="16" t="s">
        <v>131</v>
      </c>
      <c r="D8" s="15" t="s">
        <v>133</v>
      </c>
      <c r="E8" s="16" t="s">
        <v>151</v>
      </c>
      <c r="F8" s="9" t="str">
        <f t="shared" si="1"/>
        <v>https://jira.krafton.com/browse/PUBG-41127</v>
      </c>
    </row>
    <row r="9" spans="1:6" ht="102" x14ac:dyDescent="0.15">
      <c r="A9" s="16">
        <v>34</v>
      </c>
      <c r="B9" s="15" t="str">
        <f t="shared" si="0"/>
        <v>41128</v>
      </c>
      <c r="C9" s="16" t="s">
        <v>60</v>
      </c>
      <c r="D9" s="15" t="s">
        <v>132</v>
      </c>
      <c r="E9" s="16" t="s">
        <v>152</v>
      </c>
      <c r="F9" s="9" t="str">
        <f t="shared" si="1"/>
        <v>https://jira.krafton.com/browse/PUBG-41128</v>
      </c>
    </row>
    <row r="10" spans="1:6" ht="188.25" customHeight="1" x14ac:dyDescent="0.15">
      <c r="A10" s="16">
        <v>35</v>
      </c>
      <c r="B10" s="15" t="str">
        <f t="shared" si="0"/>
        <v>41159</v>
      </c>
      <c r="C10" s="16" t="s">
        <v>175</v>
      </c>
      <c r="D10" s="15" t="s">
        <v>176</v>
      </c>
      <c r="E10" s="16" t="s">
        <v>177</v>
      </c>
      <c r="F10" s="9" t="str">
        <f t="shared" si="1"/>
        <v>https://jira.krafton.com/browse/PUBG-41159</v>
      </c>
    </row>
    <row r="11" spans="1:6" ht="13.5" x14ac:dyDescent="0.15">
      <c r="B11" s="15"/>
      <c r="D11" s="15"/>
      <c r="F11" s="9" t="str">
        <f t="shared" si="1"/>
        <v/>
      </c>
    </row>
    <row r="12" spans="1:6" ht="13.5" x14ac:dyDescent="0.15">
      <c r="B12" s="15"/>
      <c r="D12" s="15"/>
      <c r="F12" s="9" t="str">
        <f t="shared" si="1"/>
        <v/>
      </c>
    </row>
    <row r="13" spans="1:6" ht="13.5" x14ac:dyDescent="0.15">
      <c r="B13" s="15"/>
      <c r="D13" s="15"/>
      <c r="F13" s="9" t="str">
        <f t="shared" si="1"/>
        <v/>
      </c>
    </row>
  </sheetData>
  <autoFilter ref="A1:F13"/>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10" zoomScale="70" zoomScaleNormal="70" workbookViewId="0">
      <selection activeCell="A2" sqref="A2:F11"/>
    </sheetView>
  </sheetViews>
  <sheetFormatPr defaultRowHeight="12.75" x14ac:dyDescent="0.15"/>
  <cols>
    <col min="1" max="1" width="6" style="16" customWidth="1"/>
    <col min="2" max="2" width="6.625" style="16" bestFit="1" customWidth="1"/>
    <col min="3" max="3" width="58.75" style="16" customWidth="1"/>
    <col min="4" max="4" width="63.375" style="16" customWidth="1"/>
    <col min="5" max="5" width="37.125" style="16" customWidth="1"/>
    <col min="6" max="6" width="47.125" style="16" bestFit="1" customWidth="1"/>
    <col min="7" max="16384" width="9" style="16"/>
  </cols>
  <sheetData>
    <row r="1" spans="1:6" x14ac:dyDescent="0.15">
      <c r="A1" s="16" t="s">
        <v>75</v>
      </c>
      <c r="B1" s="16" t="s">
        <v>108</v>
      </c>
      <c r="C1" s="16" t="s">
        <v>32</v>
      </c>
      <c r="D1" s="16" t="s">
        <v>33</v>
      </c>
      <c r="E1" s="16" t="s">
        <v>107</v>
      </c>
      <c r="F1" s="16" t="s">
        <v>109</v>
      </c>
    </row>
    <row r="2" spans="1:6" ht="224.25" customHeight="1" x14ac:dyDescent="0.15">
      <c r="A2" s="16">
        <v>36</v>
      </c>
      <c r="B2" s="15" t="str">
        <f>RIGHT(E2,5)</f>
        <v>41372</v>
      </c>
      <c r="C2" s="16" t="s">
        <v>204</v>
      </c>
      <c r="D2" s="15" t="s">
        <v>205</v>
      </c>
      <c r="E2" s="16" t="s">
        <v>206</v>
      </c>
      <c r="F2" s="9" t="str">
        <f t="shared" ref="F2:F11" si="0">HYPERLINK(E2)</f>
        <v>https://jira.krafton.com/browse/PUBG-41372</v>
      </c>
    </row>
    <row r="3" spans="1:6" ht="114.75" x14ac:dyDescent="0.15">
      <c r="A3" s="16">
        <v>37</v>
      </c>
      <c r="B3" s="15" t="str">
        <f t="shared" ref="B3:B10" si="1">RIGHT(E3,5)</f>
        <v>41373</v>
      </c>
      <c r="C3" s="16" t="s">
        <v>207</v>
      </c>
      <c r="D3" s="15" t="s">
        <v>208</v>
      </c>
      <c r="E3" s="16" t="s">
        <v>209</v>
      </c>
      <c r="F3" s="9" t="str">
        <f t="shared" si="0"/>
        <v>https://jira.krafton.com/browse/PUBG-41373</v>
      </c>
    </row>
    <row r="4" spans="1:6" ht="102" x14ac:dyDescent="0.15">
      <c r="A4" s="16">
        <v>38</v>
      </c>
      <c r="B4" s="15" t="str">
        <f t="shared" si="1"/>
        <v>41374</v>
      </c>
      <c r="C4" s="16" t="s">
        <v>189</v>
      </c>
      <c r="D4" s="15" t="s">
        <v>190</v>
      </c>
      <c r="E4" s="16" t="s">
        <v>210</v>
      </c>
      <c r="F4" s="9" t="str">
        <f t="shared" si="0"/>
        <v>https://jira.krafton.com/browse/PUBG-41374</v>
      </c>
    </row>
    <row r="5" spans="1:6" ht="118.5" customHeight="1" x14ac:dyDescent="0.15">
      <c r="A5" s="16">
        <v>39</v>
      </c>
      <c r="B5" s="15" t="str">
        <f t="shared" si="1"/>
        <v>41375</v>
      </c>
      <c r="C5" s="16" t="s">
        <v>191</v>
      </c>
      <c r="D5" s="15" t="s">
        <v>192</v>
      </c>
      <c r="E5" s="16" t="s">
        <v>211</v>
      </c>
      <c r="F5" s="9" t="str">
        <f t="shared" si="0"/>
        <v>https://jira.krafton.com/browse/PUBG-41375</v>
      </c>
    </row>
    <row r="6" spans="1:6" ht="102" x14ac:dyDescent="0.15">
      <c r="A6" s="16">
        <v>40</v>
      </c>
      <c r="B6" s="15" t="str">
        <f t="shared" si="1"/>
        <v>41376</v>
      </c>
      <c r="C6" s="16" t="s">
        <v>193</v>
      </c>
      <c r="D6" s="15" t="s">
        <v>194</v>
      </c>
      <c r="E6" s="16" t="s">
        <v>212</v>
      </c>
      <c r="F6" s="9" t="str">
        <f t="shared" si="0"/>
        <v>https://jira.krafton.com/browse/PUBG-41376</v>
      </c>
    </row>
    <row r="7" spans="1:6" ht="114.75" x14ac:dyDescent="0.15">
      <c r="A7" s="16">
        <v>41</v>
      </c>
      <c r="B7" s="15" t="str">
        <f t="shared" si="1"/>
        <v>41377</v>
      </c>
      <c r="C7" s="16" t="s">
        <v>195</v>
      </c>
      <c r="D7" s="15" t="s">
        <v>196</v>
      </c>
      <c r="E7" s="16" t="s">
        <v>213</v>
      </c>
      <c r="F7" s="9" t="str">
        <f t="shared" si="0"/>
        <v>https://jira.krafton.com/browse/PUBG-41377</v>
      </c>
    </row>
    <row r="8" spans="1:6" ht="102" x14ac:dyDescent="0.15">
      <c r="A8" s="16">
        <v>42</v>
      </c>
      <c r="B8" s="15" t="str">
        <f t="shared" si="1"/>
        <v>41378</v>
      </c>
      <c r="C8" s="16" t="s">
        <v>197</v>
      </c>
      <c r="D8" s="15" t="s">
        <v>198</v>
      </c>
      <c r="E8" s="16" t="s">
        <v>214</v>
      </c>
      <c r="F8" s="9" t="str">
        <f t="shared" si="0"/>
        <v>https://jira.krafton.com/browse/PUBG-41378</v>
      </c>
    </row>
    <row r="9" spans="1:6" ht="204" x14ac:dyDescent="0.15">
      <c r="A9" s="16">
        <v>43</v>
      </c>
      <c r="B9" s="15" t="str">
        <f t="shared" si="1"/>
        <v>41379</v>
      </c>
      <c r="C9" s="16" t="s">
        <v>199</v>
      </c>
      <c r="D9" s="15" t="s">
        <v>200</v>
      </c>
      <c r="E9" s="16" t="s">
        <v>215</v>
      </c>
      <c r="F9" s="9" t="str">
        <f t="shared" si="0"/>
        <v>https://jira.krafton.com/browse/PUBG-41379</v>
      </c>
    </row>
    <row r="10" spans="1:6" ht="102" x14ac:dyDescent="0.15">
      <c r="A10" s="16">
        <v>44</v>
      </c>
      <c r="B10" s="15" t="str">
        <f t="shared" si="1"/>
        <v>41380</v>
      </c>
      <c r="C10" s="16" t="s">
        <v>41</v>
      </c>
      <c r="D10" s="15" t="s">
        <v>201</v>
      </c>
      <c r="E10" s="16" t="s">
        <v>216</v>
      </c>
      <c r="F10" s="9" t="str">
        <f t="shared" si="0"/>
        <v>https://jira.krafton.com/browse/PUBG-41380</v>
      </c>
    </row>
    <row r="11" spans="1:6" ht="114.75" x14ac:dyDescent="0.15">
      <c r="A11" s="16">
        <v>45</v>
      </c>
      <c r="B11" s="15" t="str">
        <f>RIGHT(E11,5)</f>
        <v>41382</v>
      </c>
      <c r="C11" s="16" t="s">
        <v>203</v>
      </c>
      <c r="D11" s="15" t="s">
        <v>202</v>
      </c>
      <c r="E11" s="16" t="s">
        <v>217</v>
      </c>
      <c r="F11" s="9" t="str">
        <f t="shared" si="0"/>
        <v>https://jira.krafton.com/browse/PUBG-41382</v>
      </c>
    </row>
  </sheetData>
  <autoFilter ref="A1:F11"/>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13"/>
  <sheetViews>
    <sheetView showGridLines="0" tabSelected="1" zoomScale="80" zoomScaleNormal="80" workbookViewId="0">
      <pane xSplit="6" ySplit="1" topLeftCell="K180" activePane="bottomRight" state="frozenSplit"/>
      <selection pane="topRight" activeCell="H1" sqref="H1"/>
      <selection pane="bottomLeft" activeCell="A2" sqref="A2"/>
      <selection pane="bottomRight" activeCell="F185" sqref="F185"/>
    </sheetView>
  </sheetViews>
  <sheetFormatPr defaultRowHeight="12.75" outlineLevelCol="1" x14ac:dyDescent="0.15"/>
  <cols>
    <col min="1" max="1" width="1.625" style="15" customWidth="1"/>
    <col min="2" max="2" width="9.5" style="15" customWidth="1" outlineLevel="1"/>
    <col min="3" max="3" width="6" style="15" customWidth="1" outlineLevel="1"/>
    <col min="4" max="5" width="6.625" style="15" customWidth="1" outlineLevel="1"/>
    <col min="6" max="6" width="30" style="15" customWidth="1"/>
    <col min="7" max="7" width="34.125" style="15" customWidth="1"/>
    <col min="8" max="8" width="33.75" style="15" customWidth="1"/>
    <col min="9" max="9" width="26.5" style="15" customWidth="1"/>
    <col min="10" max="10" width="63.375" style="15" customWidth="1" outlineLevel="1"/>
    <col min="11" max="11" width="19.75" style="15" customWidth="1" outlineLevel="1"/>
    <col min="12" max="12" width="47.75" style="15" customWidth="1" outlineLevel="1"/>
    <col min="13" max="16384" width="9" style="15"/>
  </cols>
  <sheetData>
    <row r="1" spans="2:12" s="26" customFormat="1" ht="30" x14ac:dyDescent="0.15">
      <c r="B1" s="26" t="s">
        <v>297</v>
      </c>
      <c r="C1" s="26" t="s">
        <v>298</v>
      </c>
      <c r="D1" s="27" t="s">
        <v>108</v>
      </c>
      <c r="E1" s="27" t="s">
        <v>299</v>
      </c>
      <c r="F1" s="26" t="s">
        <v>32</v>
      </c>
      <c r="G1" s="26" t="s">
        <v>224</v>
      </c>
      <c r="H1" s="26" t="s">
        <v>225</v>
      </c>
      <c r="I1" s="26" t="s">
        <v>226</v>
      </c>
      <c r="J1" s="27" t="s">
        <v>33</v>
      </c>
      <c r="K1" s="26" t="s">
        <v>107</v>
      </c>
      <c r="L1" s="27" t="s">
        <v>109</v>
      </c>
    </row>
    <row r="2" spans="2:12" ht="13.5" hidden="1" x14ac:dyDescent="0.15">
      <c r="B2" s="24">
        <v>43879</v>
      </c>
      <c r="D2" s="15" t="str">
        <f t="shared" ref="D2:D33" si="0">RIGHT(K2,5)</f>
        <v/>
      </c>
      <c r="E2" s="15" t="str">
        <f t="shared" ref="E2:E33" si="1">MID(F2,2,2)</f>
        <v>AJ</v>
      </c>
      <c r="F2" s="16" t="s">
        <v>154</v>
      </c>
      <c r="L2" s="4" t="s">
        <v>153</v>
      </c>
    </row>
    <row r="3" spans="2:12" ht="13.5" hidden="1" x14ac:dyDescent="0.15">
      <c r="B3" s="24">
        <v>43879</v>
      </c>
      <c r="D3" s="25" t="str">
        <f t="shared" si="0"/>
        <v/>
      </c>
      <c r="E3" s="25" t="str">
        <f t="shared" si="1"/>
        <v>AJ</v>
      </c>
      <c r="F3" s="16" t="s">
        <v>155</v>
      </c>
      <c r="L3" s="9" t="s">
        <v>156</v>
      </c>
    </row>
    <row r="4" spans="2:12" ht="13.5" hidden="1" x14ac:dyDescent="0.15">
      <c r="B4" s="24">
        <v>43879</v>
      </c>
      <c r="D4" s="25" t="str">
        <f t="shared" si="0"/>
        <v/>
      </c>
      <c r="E4" s="25" t="str">
        <f t="shared" si="1"/>
        <v>AJ</v>
      </c>
      <c r="F4" s="16" t="s">
        <v>157</v>
      </c>
      <c r="L4" s="9" t="s">
        <v>158</v>
      </c>
    </row>
    <row r="5" spans="2:12" ht="13.5" hidden="1" x14ac:dyDescent="0.15">
      <c r="B5" s="24">
        <v>43879</v>
      </c>
      <c r="D5" s="25" t="str">
        <f t="shared" si="0"/>
        <v/>
      </c>
      <c r="E5" s="25" t="str">
        <f t="shared" si="1"/>
        <v>AJ</v>
      </c>
      <c r="F5" s="16" t="s">
        <v>157</v>
      </c>
      <c r="L5" s="9" t="s">
        <v>159</v>
      </c>
    </row>
    <row r="6" spans="2:12" ht="13.5" hidden="1" x14ac:dyDescent="0.15">
      <c r="B6" s="24">
        <v>43879</v>
      </c>
      <c r="D6" s="25" t="str">
        <f t="shared" si="0"/>
        <v/>
      </c>
      <c r="E6" s="25" t="str">
        <f t="shared" si="1"/>
        <v>AJ</v>
      </c>
      <c r="F6" s="16" t="s">
        <v>161</v>
      </c>
      <c r="L6" s="9" t="s">
        <v>160</v>
      </c>
    </row>
    <row r="7" spans="2:12" ht="13.5" hidden="1" x14ac:dyDescent="0.15">
      <c r="B7" s="24">
        <v>43879</v>
      </c>
      <c r="D7" s="25" t="str">
        <f t="shared" si="0"/>
        <v/>
      </c>
      <c r="E7" s="25" t="str">
        <f t="shared" si="1"/>
        <v>AJ</v>
      </c>
      <c r="F7" s="16" t="s">
        <v>163</v>
      </c>
      <c r="L7" s="9" t="s">
        <v>162</v>
      </c>
    </row>
    <row r="8" spans="2:12" ht="13.5" hidden="1" x14ac:dyDescent="0.15">
      <c r="B8" s="24">
        <v>43879</v>
      </c>
      <c r="D8" s="25" t="str">
        <f t="shared" si="0"/>
        <v/>
      </c>
      <c r="E8" s="25" t="str">
        <f t="shared" si="1"/>
        <v>AJ</v>
      </c>
      <c r="F8" s="16" t="s">
        <v>163</v>
      </c>
      <c r="L8" s="9" t="s">
        <v>164</v>
      </c>
    </row>
    <row r="9" spans="2:12" ht="13.5" hidden="1" x14ac:dyDescent="0.15">
      <c r="B9" s="24">
        <v>43879</v>
      </c>
      <c r="D9" s="25" t="str">
        <f t="shared" si="0"/>
        <v/>
      </c>
      <c r="E9" s="25" t="str">
        <f t="shared" si="1"/>
        <v>AJ</v>
      </c>
      <c r="F9" s="16" t="s">
        <v>166</v>
      </c>
      <c r="L9" s="9" t="s">
        <v>165</v>
      </c>
    </row>
    <row r="10" spans="2:12" ht="13.5" hidden="1" x14ac:dyDescent="0.15">
      <c r="B10" s="24">
        <v>43879</v>
      </c>
      <c r="D10" s="25" t="str">
        <f t="shared" si="0"/>
        <v/>
      </c>
      <c r="E10" s="25" t="str">
        <f t="shared" si="1"/>
        <v>AJ</v>
      </c>
      <c r="F10" s="16" t="s">
        <v>168</v>
      </c>
      <c r="L10" s="9" t="s">
        <v>167</v>
      </c>
    </row>
    <row r="11" spans="2:12" ht="13.5" hidden="1" x14ac:dyDescent="0.15">
      <c r="B11" s="24">
        <v>43879</v>
      </c>
      <c r="D11" s="25" t="str">
        <f t="shared" si="0"/>
        <v/>
      </c>
      <c r="E11" s="25" t="str">
        <f t="shared" si="1"/>
        <v>AJ</v>
      </c>
      <c r="F11" s="16" t="s">
        <v>170</v>
      </c>
      <c r="L11" s="9" t="s">
        <v>169</v>
      </c>
    </row>
    <row r="12" spans="2:12" ht="13.5" hidden="1" x14ac:dyDescent="0.15">
      <c r="B12" s="24">
        <v>43879</v>
      </c>
      <c r="D12" s="25" t="str">
        <f t="shared" si="0"/>
        <v/>
      </c>
      <c r="E12" s="25" t="str">
        <f t="shared" si="1"/>
        <v>AJ</v>
      </c>
      <c r="F12" s="16" t="s">
        <v>172</v>
      </c>
      <c r="L12" s="9" t="s">
        <v>171</v>
      </c>
    </row>
    <row r="13" spans="2:12" ht="13.5" hidden="1" x14ac:dyDescent="0.15">
      <c r="B13" s="24">
        <v>43879</v>
      </c>
      <c r="D13" s="25" t="str">
        <f t="shared" si="0"/>
        <v/>
      </c>
      <c r="E13" s="25" t="str">
        <f t="shared" si="1"/>
        <v>AJ</v>
      </c>
      <c r="F13" s="16" t="s">
        <v>174</v>
      </c>
      <c r="L13" s="9" t="s">
        <v>173</v>
      </c>
    </row>
    <row r="14" spans="2:12" ht="114.75" hidden="1" x14ac:dyDescent="0.15">
      <c r="B14" s="24">
        <v>43880</v>
      </c>
      <c r="C14" s="16">
        <v>1</v>
      </c>
      <c r="D14" s="15" t="str">
        <f t="shared" si="0"/>
        <v>40956</v>
      </c>
      <c r="E14" s="15" t="str">
        <f t="shared" si="1"/>
        <v>AJ</v>
      </c>
      <c r="F14" s="16" t="s">
        <v>43</v>
      </c>
      <c r="G14" s="15" t="s">
        <v>34</v>
      </c>
      <c r="K14" s="16" t="s">
        <v>77</v>
      </c>
      <c r="L14" s="9" t="str">
        <f>HYPERLINK(K14)</f>
        <v>https://jira.krafton.com/browse/PUBG-40956</v>
      </c>
    </row>
    <row r="15" spans="2:12" ht="153" hidden="1" x14ac:dyDescent="0.15">
      <c r="B15" s="24">
        <v>43880</v>
      </c>
      <c r="C15" s="16">
        <v>2</v>
      </c>
      <c r="D15" s="15" t="str">
        <f t="shared" si="0"/>
        <v>40957</v>
      </c>
      <c r="E15" s="15" t="str">
        <f t="shared" si="1"/>
        <v>AJ</v>
      </c>
      <c r="F15" s="16" t="s">
        <v>35</v>
      </c>
      <c r="G15" s="15" t="s">
        <v>36</v>
      </c>
      <c r="K15" s="16" t="s">
        <v>78</v>
      </c>
      <c r="L15" s="9" t="str">
        <f t="shared" ref="L15:L39" si="2">HYPERLINK(K15)</f>
        <v>https://jira.krafton.com/browse/PUBG-40957</v>
      </c>
    </row>
    <row r="16" spans="2:12" ht="153" hidden="1" x14ac:dyDescent="0.15">
      <c r="B16" s="24">
        <v>43880</v>
      </c>
      <c r="C16" s="16">
        <v>3</v>
      </c>
      <c r="D16" s="15" t="str">
        <f t="shared" si="0"/>
        <v>40958</v>
      </c>
      <c r="E16" s="15" t="str">
        <f t="shared" si="1"/>
        <v>AJ</v>
      </c>
      <c r="F16" s="16" t="s">
        <v>37</v>
      </c>
      <c r="G16" s="15" t="s">
        <v>79</v>
      </c>
      <c r="K16" s="16" t="s">
        <v>80</v>
      </c>
      <c r="L16" s="9" t="str">
        <f t="shared" si="2"/>
        <v>https://jira.krafton.com/browse/PUBG-40958</v>
      </c>
    </row>
    <row r="17" spans="2:12" ht="140.25" hidden="1" x14ac:dyDescent="0.15">
      <c r="B17" s="24">
        <v>43880</v>
      </c>
      <c r="C17" s="16">
        <v>4</v>
      </c>
      <c r="D17" s="15" t="str">
        <f t="shared" si="0"/>
        <v>40959</v>
      </c>
      <c r="E17" s="15" t="str">
        <f t="shared" si="1"/>
        <v>AJ</v>
      </c>
      <c r="F17" s="16" t="s">
        <v>38</v>
      </c>
      <c r="G17" s="15" t="s">
        <v>81</v>
      </c>
      <c r="K17" s="16" t="s">
        <v>82</v>
      </c>
      <c r="L17" s="9" t="str">
        <f t="shared" si="2"/>
        <v>https://jira.krafton.com/browse/PUBG-40959</v>
      </c>
    </row>
    <row r="18" spans="2:12" ht="114.75" hidden="1" x14ac:dyDescent="0.15">
      <c r="B18" s="24">
        <v>43880</v>
      </c>
      <c r="C18" s="16">
        <v>5</v>
      </c>
      <c r="D18" s="15" t="str">
        <f t="shared" si="0"/>
        <v>40960</v>
      </c>
      <c r="E18" s="15" t="str">
        <f t="shared" si="1"/>
        <v>AJ</v>
      </c>
      <c r="F18" s="16" t="s">
        <v>39</v>
      </c>
      <c r="G18" s="15" t="s">
        <v>83</v>
      </c>
      <c r="K18" s="16" t="s">
        <v>84</v>
      </c>
      <c r="L18" s="9" t="str">
        <f t="shared" si="2"/>
        <v>https://jira.krafton.com/browse/PUBG-40960</v>
      </c>
    </row>
    <row r="19" spans="2:12" ht="114.75" hidden="1" x14ac:dyDescent="0.15">
      <c r="B19" s="24">
        <v>43880</v>
      </c>
      <c r="C19" s="16">
        <v>6</v>
      </c>
      <c r="D19" s="15" t="str">
        <f t="shared" si="0"/>
        <v>40961</v>
      </c>
      <c r="E19" s="15" t="str">
        <f t="shared" si="1"/>
        <v>AJ</v>
      </c>
      <c r="F19" s="16" t="s">
        <v>40</v>
      </c>
      <c r="G19" s="15" t="s">
        <v>85</v>
      </c>
      <c r="K19" s="16" t="s">
        <v>86</v>
      </c>
      <c r="L19" s="9" t="str">
        <f t="shared" si="2"/>
        <v>https://jira.krafton.com/browse/PUBG-40961</v>
      </c>
    </row>
    <row r="20" spans="2:12" ht="127.5" hidden="1" x14ac:dyDescent="0.15">
      <c r="B20" s="24">
        <v>43880</v>
      </c>
      <c r="C20" s="16">
        <v>7</v>
      </c>
      <c r="D20" s="15" t="str">
        <f t="shared" si="0"/>
        <v>40962</v>
      </c>
      <c r="E20" s="15" t="str">
        <f t="shared" si="1"/>
        <v>AJ</v>
      </c>
      <c r="F20" s="16" t="s">
        <v>43</v>
      </c>
      <c r="G20" s="15" t="s">
        <v>42</v>
      </c>
      <c r="K20" s="16" t="s">
        <v>87</v>
      </c>
      <c r="L20" s="9" t="str">
        <f t="shared" si="2"/>
        <v>https://jira.krafton.com/browse/PUBG-40962</v>
      </c>
    </row>
    <row r="21" spans="2:12" ht="127.5" hidden="1" x14ac:dyDescent="0.15">
      <c r="B21" s="24">
        <v>43880</v>
      </c>
      <c r="C21" s="16">
        <v>8</v>
      </c>
      <c r="D21" s="15" t="str">
        <f t="shared" si="0"/>
        <v>40963</v>
      </c>
      <c r="E21" s="15" t="str">
        <f t="shared" si="1"/>
        <v>AJ</v>
      </c>
      <c r="F21" s="16" t="s">
        <v>45</v>
      </c>
      <c r="G21" s="15" t="s">
        <v>44</v>
      </c>
      <c r="K21" s="16" t="s">
        <v>88</v>
      </c>
      <c r="L21" s="9" t="str">
        <f t="shared" si="2"/>
        <v>https://jira.krafton.com/browse/PUBG-40963</v>
      </c>
    </row>
    <row r="22" spans="2:12" ht="127.5" hidden="1" x14ac:dyDescent="0.15">
      <c r="B22" s="24">
        <v>43880</v>
      </c>
      <c r="C22" s="16">
        <v>9</v>
      </c>
      <c r="D22" s="15" t="str">
        <f t="shared" si="0"/>
        <v>40964</v>
      </c>
      <c r="E22" s="15" t="str">
        <f t="shared" si="1"/>
        <v>AK</v>
      </c>
      <c r="F22" s="16" t="s">
        <v>46</v>
      </c>
      <c r="G22" s="15" t="s">
        <v>47</v>
      </c>
      <c r="K22" s="16" t="s">
        <v>89</v>
      </c>
      <c r="L22" s="9" t="str">
        <f t="shared" si="2"/>
        <v>https://jira.krafton.com/browse/PUBG-40964</v>
      </c>
    </row>
    <row r="23" spans="2:12" ht="216.75" hidden="1" x14ac:dyDescent="0.15">
      <c r="B23" s="24">
        <v>43880</v>
      </c>
      <c r="C23" s="16">
        <v>10</v>
      </c>
      <c r="D23" s="15" t="str">
        <f t="shared" si="0"/>
        <v>40965</v>
      </c>
      <c r="E23" s="15" t="str">
        <f t="shared" si="1"/>
        <v>AJ</v>
      </c>
      <c r="F23" s="16" t="s">
        <v>49</v>
      </c>
      <c r="G23" s="15" t="s">
        <v>50</v>
      </c>
      <c r="K23" s="16" t="s">
        <v>90</v>
      </c>
      <c r="L23" s="9" t="str">
        <f t="shared" si="2"/>
        <v>https://jira.krafton.com/browse/PUBG-40965</v>
      </c>
    </row>
    <row r="24" spans="2:12" ht="127.5" hidden="1" x14ac:dyDescent="0.15">
      <c r="B24" s="24">
        <v>43880</v>
      </c>
      <c r="C24" s="16">
        <v>11</v>
      </c>
      <c r="D24" s="15" t="str">
        <f t="shared" si="0"/>
        <v>40966</v>
      </c>
      <c r="E24" s="15" t="str">
        <f t="shared" si="1"/>
        <v>AJ</v>
      </c>
      <c r="F24" s="16" t="s">
        <v>48</v>
      </c>
      <c r="G24" s="15" t="s">
        <v>53</v>
      </c>
      <c r="K24" s="16" t="s">
        <v>91</v>
      </c>
      <c r="L24" s="9" t="str">
        <f t="shared" si="2"/>
        <v>https://jira.krafton.com/browse/PUBG-40966</v>
      </c>
    </row>
    <row r="25" spans="2:12" ht="127.5" hidden="1" x14ac:dyDescent="0.15">
      <c r="B25" s="24">
        <v>43880</v>
      </c>
      <c r="C25" s="16">
        <v>12</v>
      </c>
      <c r="D25" s="15" t="str">
        <f t="shared" si="0"/>
        <v>40967</v>
      </c>
      <c r="E25" s="15" t="str">
        <f t="shared" si="1"/>
        <v>AJ</v>
      </c>
      <c r="F25" s="16" t="s">
        <v>48</v>
      </c>
      <c r="G25" s="15" t="s">
        <v>55</v>
      </c>
      <c r="K25" s="16" t="s">
        <v>92</v>
      </c>
      <c r="L25" s="9" t="str">
        <f t="shared" si="2"/>
        <v>https://jira.krafton.com/browse/PUBG-40967</v>
      </c>
    </row>
    <row r="26" spans="2:12" ht="114.75" hidden="1" x14ac:dyDescent="0.15">
      <c r="B26" s="24">
        <v>43880</v>
      </c>
      <c r="C26" s="16">
        <v>13</v>
      </c>
      <c r="D26" s="15" t="str">
        <f t="shared" si="0"/>
        <v>40968</v>
      </c>
      <c r="E26" s="15" t="str">
        <f t="shared" si="1"/>
        <v>AJ</v>
      </c>
      <c r="F26" s="16" t="s">
        <v>51</v>
      </c>
      <c r="G26" s="15" t="s">
        <v>52</v>
      </c>
      <c r="K26" s="16" t="s">
        <v>93</v>
      </c>
      <c r="L26" s="9" t="str">
        <f t="shared" si="2"/>
        <v>https://jira.krafton.com/browse/PUBG-40968</v>
      </c>
    </row>
    <row r="27" spans="2:12" ht="127.5" hidden="1" x14ac:dyDescent="0.15">
      <c r="B27" s="24">
        <v>43880</v>
      </c>
      <c r="C27" s="16">
        <v>14</v>
      </c>
      <c r="D27" s="15" t="str">
        <f t="shared" si="0"/>
        <v>40969</v>
      </c>
      <c r="E27" s="15" t="str">
        <f t="shared" si="1"/>
        <v>AJ</v>
      </c>
      <c r="F27" s="16" t="s">
        <v>48</v>
      </c>
      <c r="G27" s="15" t="s">
        <v>54</v>
      </c>
      <c r="K27" s="16" t="s">
        <v>94</v>
      </c>
      <c r="L27" s="9" t="str">
        <f t="shared" si="2"/>
        <v>https://jira.krafton.com/browse/PUBG-40969</v>
      </c>
    </row>
    <row r="28" spans="2:12" ht="204" hidden="1" x14ac:dyDescent="0.15">
      <c r="B28" s="24">
        <v>43880</v>
      </c>
      <c r="C28" s="16">
        <v>15</v>
      </c>
      <c r="D28" s="15" t="str">
        <f t="shared" si="0"/>
        <v>40970</v>
      </c>
      <c r="E28" s="15" t="str">
        <f t="shared" si="1"/>
        <v>AJ</v>
      </c>
      <c r="F28" s="16" t="s">
        <v>57</v>
      </c>
      <c r="G28" s="15" t="s">
        <v>56</v>
      </c>
      <c r="K28" s="16" t="s">
        <v>95</v>
      </c>
      <c r="L28" s="9" t="str">
        <f t="shared" si="2"/>
        <v>https://jira.krafton.com/browse/PUBG-40970</v>
      </c>
    </row>
    <row r="29" spans="2:12" ht="127.5" hidden="1" x14ac:dyDescent="0.15">
      <c r="B29" s="24">
        <v>43880</v>
      </c>
      <c r="C29" s="16">
        <v>16</v>
      </c>
      <c r="D29" s="15" t="str">
        <f t="shared" si="0"/>
        <v>40971</v>
      </c>
      <c r="E29" s="15" t="str">
        <f t="shared" si="1"/>
        <v>AJ</v>
      </c>
      <c r="F29" s="16" t="s">
        <v>58</v>
      </c>
      <c r="G29" s="15" t="s">
        <v>59</v>
      </c>
      <c r="K29" s="16" t="s">
        <v>96</v>
      </c>
      <c r="L29" s="9" t="str">
        <f t="shared" si="2"/>
        <v>https://jira.krafton.com/browse/PUBG-40971</v>
      </c>
    </row>
    <row r="30" spans="2:12" ht="114.75" hidden="1" x14ac:dyDescent="0.15">
      <c r="B30" s="24">
        <v>43880</v>
      </c>
      <c r="C30" s="16">
        <v>17</v>
      </c>
      <c r="D30" s="15" t="str">
        <f t="shared" si="0"/>
        <v>40972</v>
      </c>
      <c r="E30" s="15" t="str">
        <f t="shared" si="1"/>
        <v>AJ</v>
      </c>
      <c r="F30" s="16" t="s">
        <v>60</v>
      </c>
      <c r="G30" s="15" t="s">
        <v>61</v>
      </c>
      <c r="K30" s="16" t="s">
        <v>97</v>
      </c>
      <c r="L30" s="9" t="str">
        <f t="shared" si="2"/>
        <v>https://jira.krafton.com/browse/PUBG-40972</v>
      </c>
    </row>
    <row r="31" spans="2:12" ht="114.75" hidden="1" x14ac:dyDescent="0.15">
      <c r="B31" s="24">
        <v>43880</v>
      </c>
      <c r="C31" s="16">
        <v>18</v>
      </c>
      <c r="D31" s="15" t="str">
        <f t="shared" si="0"/>
        <v>40973</v>
      </c>
      <c r="E31" s="15" t="str">
        <f t="shared" si="1"/>
        <v>AJ</v>
      </c>
      <c r="F31" s="16" t="s">
        <v>60</v>
      </c>
      <c r="G31" s="15" t="s">
        <v>62</v>
      </c>
      <c r="K31" s="16" t="s">
        <v>98</v>
      </c>
      <c r="L31" s="9" t="str">
        <f t="shared" si="2"/>
        <v>https://jira.krafton.com/browse/PUBG-40973</v>
      </c>
    </row>
    <row r="32" spans="2:12" ht="114.75" hidden="1" x14ac:dyDescent="0.15">
      <c r="B32" s="24">
        <v>43880</v>
      </c>
      <c r="C32" s="16">
        <v>19</v>
      </c>
      <c r="D32" s="15" t="str">
        <f t="shared" si="0"/>
        <v>40974</v>
      </c>
      <c r="E32" s="15" t="str">
        <f t="shared" si="1"/>
        <v>AJ</v>
      </c>
      <c r="F32" s="16" t="s">
        <v>60</v>
      </c>
      <c r="G32" s="15" t="s">
        <v>63</v>
      </c>
      <c r="K32" s="16" t="s">
        <v>99</v>
      </c>
      <c r="L32" s="9" t="str">
        <f t="shared" si="2"/>
        <v>https://jira.krafton.com/browse/PUBG-40974</v>
      </c>
    </row>
    <row r="33" spans="2:12" ht="114.75" hidden="1" x14ac:dyDescent="0.15">
      <c r="B33" s="24">
        <v>43880</v>
      </c>
      <c r="C33" s="16">
        <v>20</v>
      </c>
      <c r="D33" s="15" t="str">
        <f t="shared" si="0"/>
        <v>40975</v>
      </c>
      <c r="E33" s="15" t="str">
        <f t="shared" si="1"/>
        <v>AJ</v>
      </c>
      <c r="F33" s="16" t="s">
        <v>60</v>
      </c>
      <c r="G33" s="15" t="s">
        <v>64</v>
      </c>
      <c r="K33" s="16" t="s">
        <v>100</v>
      </c>
      <c r="L33" s="9" t="str">
        <f t="shared" si="2"/>
        <v>https://jira.krafton.com/browse/PUBG-40975</v>
      </c>
    </row>
    <row r="34" spans="2:12" ht="114.75" hidden="1" x14ac:dyDescent="0.15">
      <c r="B34" s="24">
        <v>43880</v>
      </c>
      <c r="C34" s="16">
        <v>21</v>
      </c>
      <c r="D34" s="15" t="str">
        <f t="shared" ref="D34:D65" si="3">RIGHT(K34,5)</f>
        <v>40976</v>
      </c>
      <c r="E34" s="15" t="str">
        <f t="shared" ref="E34:E65" si="4">MID(F34,2,2)</f>
        <v>AJ</v>
      </c>
      <c r="F34" s="16" t="s">
        <v>60</v>
      </c>
      <c r="G34" s="15" t="s">
        <v>65</v>
      </c>
      <c r="K34" s="16" t="s">
        <v>101</v>
      </c>
      <c r="L34" s="9" t="str">
        <f t="shared" si="2"/>
        <v>https://jira.krafton.com/browse/PUBG-40976</v>
      </c>
    </row>
    <row r="35" spans="2:12" ht="140.25" hidden="1" x14ac:dyDescent="0.15">
      <c r="B35" s="24">
        <v>43880</v>
      </c>
      <c r="C35" s="16">
        <v>22</v>
      </c>
      <c r="D35" s="15" t="str">
        <f t="shared" si="3"/>
        <v>40977</v>
      </c>
      <c r="E35" s="15" t="str">
        <f t="shared" si="4"/>
        <v>AJ</v>
      </c>
      <c r="F35" s="16" t="s">
        <v>66</v>
      </c>
      <c r="G35" s="15" t="s">
        <v>67</v>
      </c>
      <c r="K35" s="16" t="s">
        <v>102</v>
      </c>
      <c r="L35" s="9" t="str">
        <f t="shared" si="2"/>
        <v>https://jira.krafton.com/browse/PUBG-40977</v>
      </c>
    </row>
    <row r="36" spans="2:12" ht="114.75" hidden="1" x14ac:dyDescent="0.15">
      <c r="B36" s="24">
        <v>43880</v>
      </c>
      <c r="C36" s="16">
        <v>23</v>
      </c>
      <c r="D36" s="15" t="str">
        <f t="shared" si="3"/>
        <v>40978</v>
      </c>
      <c r="E36" s="15" t="str">
        <f t="shared" si="4"/>
        <v>AJ</v>
      </c>
      <c r="F36" s="16" t="s">
        <v>60</v>
      </c>
      <c r="G36" s="15" t="s">
        <v>68</v>
      </c>
      <c r="K36" s="16" t="s">
        <v>103</v>
      </c>
      <c r="L36" s="9" t="str">
        <f t="shared" si="2"/>
        <v>https://jira.krafton.com/browse/PUBG-40978</v>
      </c>
    </row>
    <row r="37" spans="2:12" ht="114.75" hidden="1" x14ac:dyDescent="0.15">
      <c r="B37" s="24">
        <v>43880</v>
      </c>
      <c r="C37" s="16">
        <v>24</v>
      </c>
      <c r="D37" s="15" t="str">
        <f t="shared" si="3"/>
        <v>40979</v>
      </c>
      <c r="E37" s="15" t="str">
        <f t="shared" si="4"/>
        <v>AJ</v>
      </c>
      <c r="F37" s="16" t="s">
        <v>69</v>
      </c>
      <c r="G37" s="15" t="s">
        <v>70</v>
      </c>
      <c r="K37" s="16" t="s">
        <v>104</v>
      </c>
      <c r="L37" s="9" t="str">
        <f t="shared" si="2"/>
        <v>https://jira.krafton.com/browse/PUBG-40979</v>
      </c>
    </row>
    <row r="38" spans="2:12" ht="165.75" hidden="1" x14ac:dyDescent="0.15">
      <c r="B38" s="24">
        <v>43880</v>
      </c>
      <c r="C38" s="16">
        <v>25</v>
      </c>
      <c r="D38" s="15" t="str">
        <f t="shared" si="3"/>
        <v>40980</v>
      </c>
      <c r="E38" s="15" t="str">
        <f t="shared" si="4"/>
        <v>AJ</v>
      </c>
      <c r="F38" s="16" t="s">
        <v>71</v>
      </c>
      <c r="G38" s="15" t="s">
        <v>72</v>
      </c>
      <c r="K38" s="16" t="s">
        <v>105</v>
      </c>
      <c r="L38" s="9" t="str">
        <f t="shared" si="2"/>
        <v>https://jira.krafton.com/browse/PUBG-40980</v>
      </c>
    </row>
    <row r="39" spans="2:12" ht="165.75" hidden="1" x14ac:dyDescent="0.15">
      <c r="B39" s="24">
        <v>43880</v>
      </c>
      <c r="C39" s="16">
        <v>26</v>
      </c>
      <c r="D39" s="15" t="str">
        <f t="shared" si="3"/>
        <v>40981</v>
      </c>
      <c r="E39" s="15" t="str">
        <f t="shared" si="4"/>
        <v>AJ</v>
      </c>
      <c r="F39" s="16" t="s">
        <v>74</v>
      </c>
      <c r="G39" s="15" t="s">
        <v>73</v>
      </c>
      <c r="K39" s="16" t="s">
        <v>106</v>
      </c>
      <c r="L39" s="9" t="str">
        <f t="shared" si="2"/>
        <v>https://jira.krafton.com/browse/PUBG-40981</v>
      </c>
    </row>
    <row r="40" spans="2:12" ht="382.5" hidden="1" x14ac:dyDescent="0.15">
      <c r="B40" s="24">
        <v>43881</v>
      </c>
      <c r="C40" s="16">
        <v>27</v>
      </c>
      <c r="D40" s="15" t="str">
        <f t="shared" si="3"/>
        <v>41121</v>
      </c>
      <c r="E40" s="15" t="str">
        <f t="shared" si="4"/>
        <v>AJ</v>
      </c>
      <c r="F40" s="16" t="s">
        <v>112</v>
      </c>
      <c r="G40" s="15" t="s">
        <v>113</v>
      </c>
      <c r="K40" s="16" t="s">
        <v>145</v>
      </c>
      <c r="L40" s="9" t="str">
        <f t="shared" ref="L40:L48" si="5">HYPERLINK(K40)</f>
        <v>https://jira.krafton.com/browse/PUBG-41121</v>
      </c>
    </row>
    <row r="41" spans="2:12" ht="178.5" hidden="1" x14ac:dyDescent="0.15">
      <c r="B41" s="24">
        <v>43881</v>
      </c>
      <c r="C41" s="16">
        <v>28</v>
      </c>
      <c r="D41" s="15" t="str">
        <f t="shared" si="3"/>
        <v>41122</v>
      </c>
      <c r="E41" s="15" t="str">
        <f t="shared" si="4"/>
        <v>AJ</v>
      </c>
      <c r="F41" s="16" t="s">
        <v>110</v>
      </c>
      <c r="G41" s="15" t="s">
        <v>111</v>
      </c>
      <c r="K41" s="16" t="s">
        <v>146</v>
      </c>
      <c r="L41" s="9" t="str">
        <f t="shared" si="5"/>
        <v>https://jira.krafton.com/browse/PUBG-41122</v>
      </c>
    </row>
    <row r="42" spans="2:12" ht="114.75" hidden="1" x14ac:dyDescent="0.15">
      <c r="B42" s="24">
        <v>43881</v>
      </c>
      <c r="C42" s="16">
        <v>29</v>
      </c>
      <c r="D42" s="15" t="str">
        <f t="shared" si="3"/>
        <v>41123</v>
      </c>
      <c r="E42" s="15" t="str">
        <f t="shared" si="4"/>
        <v>AJ</v>
      </c>
      <c r="F42" s="16" t="s">
        <v>114</v>
      </c>
      <c r="G42" s="15" t="s">
        <v>115</v>
      </c>
      <c r="K42" s="16" t="s">
        <v>147</v>
      </c>
      <c r="L42" s="9" t="str">
        <f t="shared" si="5"/>
        <v>https://jira.krafton.com/browse/PUBG-41123</v>
      </c>
    </row>
    <row r="43" spans="2:12" ht="127.5" hidden="1" x14ac:dyDescent="0.15">
      <c r="B43" s="24">
        <v>43881</v>
      </c>
      <c r="C43" s="16">
        <v>30</v>
      </c>
      <c r="D43" s="15" t="str">
        <f t="shared" si="3"/>
        <v>41124</v>
      </c>
      <c r="E43" s="15" t="str">
        <f t="shared" si="4"/>
        <v>AJ</v>
      </c>
      <c r="F43" s="16" t="s">
        <v>116</v>
      </c>
      <c r="G43" s="15" t="s">
        <v>117</v>
      </c>
      <c r="K43" s="16" t="s">
        <v>148</v>
      </c>
      <c r="L43" s="9" t="str">
        <f t="shared" si="5"/>
        <v>https://jira.krafton.com/browse/PUBG-41124</v>
      </c>
    </row>
    <row r="44" spans="2:12" ht="178.5" hidden="1" x14ac:dyDescent="0.15">
      <c r="B44" s="24">
        <v>43881</v>
      </c>
      <c r="C44" s="16">
        <v>31</v>
      </c>
      <c r="D44" s="15" t="str">
        <f t="shared" si="3"/>
        <v>41125</v>
      </c>
      <c r="E44" s="15" t="str">
        <f t="shared" si="4"/>
        <v>AJ</v>
      </c>
      <c r="F44" s="16" t="s">
        <v>118</v>
      </c>
      <c r="G44" s="15" t="s">
        <v>119</v>
      </c>
      <c r="K44" s="16" t="s">
        <v>149</v>
      </c>
      <c r="L44" s="9" t="str">
        <f t="shared" si="5"/>
        <v>https://jira.krafton.com/browse/PUBG-41125</v>
      </c>
    </row>
    <row r="45" spans="2:12" ht="127.5" hidden="1" x14ac:dyDescent="0.15">
      <c r="B45" s="24">
        <v>43881</v>
      </c>
      <c r="C45" s="16">
        <v>32</v>
      </c>
      <c r="D45" s="15" t="str">
        <f t="shared" si="3"/>
        <v>41126</v>
      </c>
      <c r="E45" s="15" t="str">
        <f t="shared" si="4"/>
        <v>AJ</v>
      </c>
      <c r="F45" s="16" t="s">
        <v>120</v>
      </c>
      <c r="G45" s="15" t="s">
        <v>134</v>
      </c>
      <c r="K45" s="16" t="s">
        <v>150</v>
      </c>
      <c r="L45" s="9" t="str">
        <f t="shared" si="5"/>
        <v>https://jira.krafton.com/browse/PUBG-41126</v>
      </c>
    </row>
    <row r="46" spans="2:12" ht="114.75" hidden="1" x14ac:dyDescent="0.15">
      <c r="B46" s="24">
        <v>43881</v>
      </c>
      <c r="C46" s="16">
        <v>33</v>
      </c>
      <c r="D46" s="15" t="str">
        <f t="shared" si="3"/>
        <v>41127</v>
      </c>
      <c r="E46" s="15" t="str">
        <f t="shared" si="4"/>
        <v>AJ</v>
      </c>
      <c r="F46" s="16" t="s">
        <v>131</v>
      </c>
      <c r="G46" s="15" t="s">
        <v>133</v>
      </c>
      <c r="K46" s="16" t="s">
        <v>151</v>
      </c>
      <c r="L46" s="9" t="str">
        <f t="shared" si="5"/>
        <v>https://jira.krafton.com/browse/PUBG-41127</v>
      </c>
    </row>
    <row r="47" spans="2:12" ht="114.75" hidden="1" x14ac:dyDescent="0.15">
      <c r="B47" s="24">
        <v>43881</v>
      </c>
      <c r="C47" s="16">
        <v>34</v>
      </c>
      <c r="D47" s="15" t="str">
        <f t="shared" si="3"/>
        <v>41128</v>
      </c>
      <c r="E47" s="15" t="str">
        <f t="shared" si="4"/>
        <v>AJ</v>
      </c>
      <c r="F47" s="16" t="s">
        <v>60</v>
      </c>
      <c r="G47" s="15" t="s">
        <v>132</v>
      </c>
      <c r="K47" s="16" t="s">
        <v>152</v>
      </c>
      <c r="L47" s="9" t="str">
        <f t="shared" si="5"/>
        <v>https://jira.krafton.com/browse/PUBG-41128</v>
      </c>
    </row>
    <row r="48" spans="2:12" ht="242.25" hidden="1" x14ac:dyDescent="0.15">
      <c r="B48" s="24">
        <v>43881</v>
      </c>
      <c r="C48" s="16">
        <v>35</v>
      </c>
      <c r="D48" s="15" t="str">
        <f t="shared" si="3"/>
        <v>41159</v>
      </c>
      <c r="E48" s="15" t="str">
        <f t="shared" si="4"/>
        <v>AJ</v>
      </c>
      <c r="F48" s="16" t="s">
        <v>175</v>
      </c>
      <c r="G48" s="15" t="s">
        <v>176</v>
      </c>
      <c r="K48" s="16" t="s">
        <v>177</v>
      </c>
      <c r="L48" s="9" t="str">
        <f t="shared" si="5"/>
        <v>https://jira.krafton.com/browse/PUBG-41159</v>
      </c>
    </row>
    <row r="49" spans="2:12" ht="306" hidden="1" x14ac:dyDescent="0.15">
      <c r="B49" s="24">
        <v>43882</v>
      </c>
      <c r="C49" s="16">
        <v>36</v>
      </c>
      <c r="D49" s="15" t="str">
        <f t="shared" si="3"/>
        <v>41372</v>
      </c>
      <c r="E49" s="15" t="str">
        <f t="shared" si="4"/>
        <v>AJ</v>
      </c>
      <c r="F49" s="16" t="s">
        <v>204</v>
      </c>
      <c r="G49" s="15" t="s">
        <v>205</v>
      </c>
      <c r="K49" s="16" t="s">
        <v>206</v>
      </c>
      <c r="L49" s="9" t="str">
        <f t="shared" ref="L49:L58" si="6">HYPERLINK(K49)</f>
        <v>https://jira.krafton.com/browse/PUBG-41372</v>
      </c>
    </row>
    <row r="50" spans="2:12" ht="153" hidden="1" x14ac:dyDescent="0.15">
      <c r="B50" s="24">
        <v>43882</v>
      </c>
      <c r="C50" s="16">
        <v>37</v>
      </c>
      <c r="D50" s="15" t="str">
        <f t="shared" si="3"/>
        <v>41373</v>
      </c>
      <c r="E50" s="15" t="str">
        <f t="shared" si="4"/>
        <v>AJ</v>
      </c>
      <c r="F50" s="16" t="s">
        <v>207</v>
      </c>
      <c r="G50" s="15" t="s">
        <v>208</v>
      </c>
      <c r="K50" s="16" t="s">
        <v>209</v>
      </c>
      <c r="L50" s="9" t="str">
        <f t="shared" si="6"/>
        <v>https://jira.krafton.com/browse/PUBG-41373</v>
      </c>
    </row>
    <row r="51" spans="2:12" ht="127.5" hidden="1" x14ac:dyDescent="0.15">
      <c r="B51" s="24">
        <v>43882</v>
      </c>
      <c r="C51" s="16">
        <v>38</v>
      </c>
      <c r="D51" s="15" t="str">
        <f t="shared" si="3"/>
        <v>41374</v>
      </c>
      <c r="E51" s="15" t="str">
        <f t="shared" si="4"/>
        <v>AJ</v>
      </c>
      <c r="F51" s="16" t="s">
        <v>189</v>
      </c>
      <c r="G51" s="15" t="s">
        <v>190</v>
      </c>
      <c r="K51" s="16" t="s">
        <v>210</v>
      </c>
      <c r="L51" s="9" t="str">
        <f t="shared" si="6"/>
        <v>https://jira.krafton.com/browse/PUBG-41374</v>
      </c>
    </row>
    <row r="52" spans="2:12" ht="114.75" hidden="1" x14ac:dyDescent="0.15">
      <c r="B52" s="24">
        <v>43882</v>
      </c>
      <c r="C52" s="16">
        <v>39</v>
      </c>
      <c r="D52" s="15" t="str">
        <f t="shared" si="3"/>
        <v>41375</v>
      </c>
      <c r="E52" s="15" t="str">
        <f t="shared" si="4"/>
        <v>AJ</v>
      </c>
      <c r="F52" s="16" t="s">
        <v>191</v>
      </c>
      <c r="G52" s="15" t="s">
        <v>192</v>
      </c>
      <c r="K52" s="16" t="s">
        <v>211</v>
      </c>
      <c r="L52" s="9" t="str">
        <f t="shared" si="6"/>
        <v>https://jira.krafton.com/browse/PUBG-41375</v>
      </c>
    </row>
    <row r="53" spans="2:12" ht="114.75" hidden="1" x14ac:dyDescent="0.15">
      <c r="B53" s="24">
        <v>43882</v>
      </c>
      <c r="C53" s="16">
        <v>40</v>
      </c>
      <c r="D53" s="15" t="str">
        <f t="shared" si="3"/>
        <v>41376</v>
      </c>
      <c r="E53" s="15" t="str">
        <f t="shared" si="4"/>
        <v>AJ</v>
      </c>
      <c r="F53" s="16" t="s">
        <v>193</v>
      </c>
      <c r="G53" s="15" t="s">
        <v>194</v>
      </c>
      <c r="K53" s="16" t="s">
        <v>212</v>
      </c>
      <c r="L53" s="9" t="str">
        <f t="shared" si="6"/>
        <v>https://jira.krafton.com/browse/PUBG-41376</v>
      </c>
    </row>
    <row r="54" spans="2:12" ht="153" hidden="1" x14ac:dyDescent="0.15">
      <c r="B54" s="24">
        <v>43882</v>
      </c>
      <c r="C54" s="16">
        <v>41</v>
      </c>
      <c r="D54" s="15" t="str">
        <f t="shared" si="3"/>
        <v>41377</v>
      </c>
      <c r="E54" s="15" t="str">
        <f t="shared" si="4"/>
        <v>AJ</v>
      </c>
      <c r="F54" s="16" t="s">
        <v>195</v>
      </c>
      <c r="G54" s="15" t="s">
        <v>196</v>
      </c>
      <c r="K54" s="16" t="s">
        <v>213</v>
      </c>
      <c r="L54" s="9" t="str">
        <f t="shared" si="6"/>
        <v>https://jira.krafton.com/browse/PUBG-41377</v>
      </c>
    </row>
    <row r="55" spans="2:12" ht="114.75" hidden="1" x14ac:dyDescent="0.15">
      <c r="B55" s="24">
        <v>43882</v>
      </c>
      <c r="C55" s="16">
        <v>42</v>
      </c>
      <c r="D55" s="15" t="str">
        <f t="shared" si="3"/>
        <v>41378</v>
      </c>
      <c r="E55" s="15" t="str">
        <f t="shared" si="4"/>
        <v>AJ</v>
      </c>
      <c r="F55" s="16" t="s">
        <v>197</v>
      </c>
      <c r="G55" s="15" t="s">
        <v>198</v>
      </c>
      <c r="K55" s="16" t="s">
        <v>214</v>
      </c>
      <c r="L55" s="9" t="str">
        <f t="shared" si="6"/>
        <v>https://jira.krafton.com/browse/PUBG-41378</v>
      </c>
    </row>
    <row r="56" spans="2:12" ht="344.25" hidden="1" x14ac:dyDescent="0.15">
      <c r="B56" s="24">
        <v>43882</v>
      </c>
      <c r="C56" s="16">
        <v>43</v>
      </c>
      <c r="D56" s="15" t="str">
        <f t="shared" si="3"/>
        <v>41379</v>
      </c>
      <c r="E56" s="15" t="str">
        <f t="shared" si="4"/>
        <v>AJ</v>
      </c>
      <c r="F56" s="16" t="s">
        <v>199</v>
      </c>
      <c r="G56" s="15" t="s">
        <v>200</v>
      </c>
      <c r="K56" s="16" t="s">
        <v>215</v>
      </c>
      <c r="L56" s="9" t="str">
        <f t="shared" si="6"/>
        <v>https://jira.krafton.com/browse/PUBG-41379</v>
      </c>
    </row>
    <row r="57" spans="2:12" ht="114.75" hidden="1" x14ac:dyDescent="0.15">
      <c r="B57" s="24">
        <v>43882</v>
      </c>
      <c r="C57" s="16">
        <v>44</v>
      </c>
      <c r="D57" s="15" t="str">
        <f t="shared" si="3"/>
        <v>41380</v>
      </c>
      <c r="E57" s="15" t="str">
        <f t="shared" si="4"/>
        <v>AJ</v>
      </c>
      <c r="F57" s="16" t="s">
        <v>41</v>
      </c>
      <c r="G57" s="15" t="s">
        <v>201</v>
      </c>
      <c r="K57" s="16" t="s">
        <v>216</v>
      </c>
      <c r="L57" s="9" t="str">
        <f t="shared" si="6"/>
        <v>https://jira.krafton.com/browse/PUBG-41380</v>
      </c>
    </row>
    <row r="58" spans="2:12" ht="153" hidden="1" x14ac:dyDescent="0.15">
      <c r="B58" s="24">
        <v>43882</v>
      </c>
      <c r="C58" s="16">
        <v>45</v>
      </c>
      <c r="D58" s="15" t="str">
        <f t="shared" si="3"/>
        <v>41382</v>
      </c>
      <c r="E58" s="15" t="str">
        <f t="shared" si="4"/>
        <v>Sa</v>
      </c>
      <c r="F58" s="16" t="s">
        <v>203</v>
      </c>
      <c r="G58" s="15" t="s">
        <v>202</v>
      </c>
      <c r="K58" s="16" t="s">
        <v>217</v>
      </c>
      <c r="L58" s="9" t="str">
        <f t="shared" si="6"/>
        <v>https://jira.krafton.com/browse/PUBG-41382</v>
      </c>
    </row>
    <row r="59" spans="2:12" ht="89.25" hidden="1" x14ac:dyDescent="0.15">
      <c r="B59" s="24">
        <v>43885</v>
      </c>
      <c r="C59" s="15">
        <v>46</v>
      </c>
      <c r="D59" s="15" t="str">
        <f t="shared" si="3"/>
        <v>41551</v>
      </c>
      <c r="E59" s="15" t="str">
        <f t="shared" si="4"/>
        <v>DJ</v>
      </c>
      <c r="F59" s="15" t="s">
        <v>234</v>
      </c>
      <c r="G59" s="15" t="str">
        <f>RIGHT(F59,LEN(F59)-13)</f>
        <v>Red box has not bullet hole decals when shot</v>
      </c>
      <c r="H59" s="15" t="s">
        <v>228</v>
      </c>
      <c r="I59" s="15" t="s">
        <v>246</v>
      </c>
      <c r="J59" s="15" t="str">
        <f t="shared" ref="J59:J62" si="7">CONCATENATE(G59,CHAR(10),CHAR(10),"*Location(s):*",CHAR(10),H59,CHAR(10),CHAR(10),"*Expected Results:*",CHAR(10),I59)</f>
        <v>Red box has not bullet hole decals when shot
*Location(s):*
Admin MovePlayer 314747.59 151303.91 1452.03 0 310.13 130.31 0.00
*Expected Results:*
The item should have proper decals when shot at</v>
      </c>
      <c r="K59" s="15" t="s">
        <v>302</v>
      </c>
      <c r="L59" s="23" t="str">
        <f t="shared" ref="L59:L70" si="8">HYPERLINK(K59)</f>
        <v>https://jira.krafton.com/browse/PUBG-41551</v>
      </c>
    </row>
    <row r="60" spans="2:12" ht="102" hidden="1" x14ac:dyDescent="0.15">
      <c r="B60" s="24">
        <v>43885</v>
      </c>
      <c r="C60" s="15">
        <v>47</v>
      </c>
      <c r="D60" s="15" t="str">
        <f t="shared" si="3"/>
        <v>41552</v>
      </c>
      <c r="E60" s="15" t="str">
        <f t="shared" si="4"/>
        <v>DJ</v>
      </c>
      <c r="F60" s="15" t="s">
        <v>235</v>
      </c>
      <c r="G60" s="15" t="str">
        <f t="shared" ref="G60:G108" si="9">RIGHT(F60,LEN(F60)-13)</f>
        <v>Bamboo sheet on wall has no bullet hole decals when shot</v>
      </c>
      <c r="H60" s="15" t="s">
        <v>230</v>
      </c>
      <c r="I60" s="15" t="s">
        <v>246</v>
      </c>
      <c r="J60" s="15" t="str">
        <f t="shared" si="7"/>
        <v>Bamboo sheet on wall has no bullet hole decals when shot
*Location(s):*
Admin MovePlayer 314747.59 151303.91 1452.03 0 310.13 130.31 0.00
Admin MovePlayer 369809.25 133876.97 460.15 0 346.75 274.53 0.00
*Expected Results:*
The item should have proper decals when shot at</v>
      </c>
      <c r="K60" s="15" t="s">
        <v>303</v>
      </c>
      <c r="L60" s="23" t="str">
        <f t="shared" si="8"/>
        <v>https://jira.krafton.com/browse/PUBG-41552</v>
      </c>
    </row>
    <row r="61" spans="2:12" ht="89.25" hidden="1" x14ac:dyDescent="0.15">
      <c r="B61" s="24">
        <v>43885</v>
      </c>
      <c r="C61" s="15">
        <v>48</v>
      </c>
      <c r="D61" s="15" t="str">
        <f t="shared" si="3"/>
        <v>41553</v>
      </c>
      <c r="E61" s="15" t="str">
        <f t="shared" si="4"/>
        <v>DJ</v>
      </c>
      <c r="F61" s="15" t="s">
        <v>236</v>
      </c>
      <c r="G61" s="15" t="str">
        <f t="shared" si="9"/>
        <v>Blue plastic barrel has not bullet hole decals when shot</v>
      </c>
      <c r="H61" s="15" t="s">
        <v>229</v>
      </c>
      <c r="I61" s="15" t="s">
        <v>246</v>
      </c>
      <c r="J61" s="15" t="str">
        <f t="shared" si="7"/>
        <v>Blue plastic barrel has not bullet hole decals when shot
*Location(s):*
Admin MovePlayer 313867.44 151262.64 1378.44 0 343.51 80.00 0.00
*Expected Results:*
The item should have proper decals when shot at</v>
      </c>
      <c r="K61" s="15" t="s">
        <v>304</v>
      </c>
      <c r="L61" s="23" t="str">
        <f t="shared" si="8"/>
        <v>https://jira.krafton.com/browse/PUBG-41553</v>
      </c>
    </row>
    <row r="62" spans="2:12" ht="102" hidden="1" x14ac:dyDescent="0.15">
      <c r="B62" s="24">
        <v>43885</v>
      </c>
      <c r="C62" s="15">
        <v>49</v>
      </c>
      <c r="D62" s="15" t="str">
        <f t="shared" si="3"/>
        <v>41554</v>
      </c>
      <c r="E62" s="15" t="str">
        <f t="shared" si="4"/>
        <v>DJ</v>
      </c>
      <c r="F62" s="15" t="s">
        <v>237</v>
      </c>
      <c r="G62" s="15" t="str">
        <f t="shared" si="9"/>
        <v>Blue box has no bullet hole decals when shot</v>
      </c>
      <c r="H62" s="15" t="s">
        <v>248</v>
      </c>
      <c r="I62" s="15" t="s">
        <v>246</v>
      </c>
      <c r="J62" s="15" t="str">
        <f t="shared" si="7"/>
        <v>Blue box has no bullet hole decals when shot
*Location(s):*
Admin MovePlayer 313179.50 152118.03 1378.44 0 318.09 181.36 0.00
Admin MovePlayer 364970.75 112747.12 224.27 0 326.07 199.39 0.00
*Expected Results:*
The item should have proper decals when shot at</v>
      </c>
      <c r="K62" s="15" t="s">
        <v>305</v>
      </c>
      <c r="L62" s="23" t="str">
        <f t="shared" si="8"/>
        <v>https://jira.krafton.com/browse/PUBG-41554</v>
      </c>
    </row>
    <row r="63" spans="2:12" ht="89.25" hidden="1" x14ac:dyDescent="0.15">
      <c r="B63" s="24">
        <v>43885</v>
      </c>
      <c r="C63" s="15">
        <v>50</v>
      </c>
      <c r="D63" s="15" t="str">
        <f t="shared" si="3"/>
        <v>41555</v>
      </c>
      <c r="E63" s="15" t="str">
        <f t="shared" si="4"/>
        <v>DJ</v>
      </c>
      <c r="F63" s="15" t="s">
        <v>482</v>
      </c>
      <c r="G63" s="15" t="s">
        <v>227</v>
      </c>
      <c r="H63" s="15" t="s">
        <v>284</v>
      </c>
      <c r="I63" s="15" t="s">
        <v>249</v>
      </c>
      <c r="J63" s="15" t="str">
        <f>CONCATENATE(G63,CHAR(10),CHAR(10),"*Location(s):*",CHAR(10),H63,CHAR(10),CHAR(10),"*Expected Results:*",CHAR(10),I63)</f>
        <v>Some palm trees are strangly shorter than others with leaves touching ground.
*Location(s):*
Admin MovePlayer 365372.03 141731.75 887.04 0 18.99 211.63 0.00
*Expected Results:*
The palm tress shall be at reasonable heights. Shorter trees shall have smaller palms.</v>
      </c>
      <c r="K63" s="15" t="s">
        <v>306</v>
      </c>
      <c r="L63" s="23" t="str">
        <f t="shared" si="8"/>
        <v>https://jira.krafton.com/browse/PUBG-41555</v>
      </c>
    </row>
    <row r="64" spans="2:12" ht="102" hidden="1" x14ac:dyDescent="0.15">
      <c r="B64" s="24">
        <v>43885</v>
      </c>
      <c r="C64" s="15">
        <v>51</v>
      </c>
      <c r="D64" s="15" t="str">
        <f t="shared" si="3"/>
        <v>41556</v>
      </c>
      <c r="E64" s="15" t="str">
        <f t="shared" si="4"/>
        <v>DJ</v>
      </c>
      <c r="F64" s="15" t="s">
        <v>231</v>
      </c>
      <c r="G64" s="15" t="str">
        <f t="shared" si="9"/>
        <v>Water spray effect happen on calm water besides rocks</v>
      </c>
      <c r="H64" s="15" t="s">
        <v>283</v>
      </c>
      <c r="I64" s="15" t="s">
        <v>250</v>
      </c>
      <c r="J64" s="15" t="str">
        <f t="shared" ref="J64:J70" si="10">CONCATENATE(G64,CHAR(10),CHAR(10),"*Location(s):*",CHAR(10),H64,CHAR(10),CHAR(10),"*Expected Results:*",CHAR(10),I64)</f>
        <v>Water spray effect happen on calm water besides rocks
*Location(s):*
Admin MovePlayer 372672.81 121183.69 -65.35 0 0.66 156.54 0.00
Admin MovePlayer 366039.75 108524.48 -53.22 0 350.67 205.30 0.00
*Expected Results:*
The water spray effect should be removed or polished to be natural.</v>
      </c>
      <c r="K64" s="15" t="s">
        <v>307</v>
      </c>
      <c r="L64" s="23" t="str">
        <f t="shared" si="8"/>
        <v>https://jira.krafton.com/browse/PUBG-41556</v>
      </c>
    </row>
    <row r="65" spans="2:12" ht="89.25" hidden="1" x14ac:dyDescent="0.15">
      <c r="B65" s="24">
        <v>43885</v>
      </c>
      <c r="C65" s="15">
        <v>52</v>
      </c>
      <c r="D65" s="15" t="str">
        <f t="shared" si="3"/>
        <v>41557</v>
      </c>
      <c r="E65" s="15" t="str">
        <f t="shared" si="4"/>
        <v>DJ</v>
      </c>
      <c r="F65" s="15" t="s">
        <v>252</v>
      </c>
      <c r="G65" s="15" t="str">
        <f t="shared" si="9"/>
        <v>Red bucket has no bullet hole decals when shot</v>
      </c>
      <c r="H65" s="15" t="s">
        <v>232</v>
      </c>
      <c r="I65" s="15" t="s">
        <v>246</v>
      </c>
      <c r="J65" s="15" t="str">
        <f t="shared" si="10"/>
        <v>Red bucket has no bullet hole decals when shot
*Location(s):*
Admin MovePlayer 368133.06 117997.63 234.01 0 314.01 308.30 0.00
*Expected Results:*
The item should have proper decals when shot at</v>
      </c>
      <c r="K65" s="15" t="s">
        <v>308</v>
      </c>
      <c r="L65" s="23" t="str">
        <f t="shared" si="8"/>
        <v>https://jira.krafton.com/browse/PUBG-41557</v>
      </c>
    </row>
    <row r="66" spans="2:12" ht="89.25" hidden="1" x14ac:dyDescent="0.15">
      <c r="B66" s="24">
        <v>43885</v>
      </c>
      <c r="C66" s="15">
        <v>53</v>
      </c>
      <c r="D66" s="15" t="str">
        <f t="shared" ref="D66:D97" si="11">RIGHT(K66,5)</f>
        <v>41558</v>
      </c>
      <c r="E66" s="15" t="str">
        <f t="shared" ref="E66:E97" si="12">MID(F66,2,2)</f>
        <v>DJ</v>
      </c>
      <c r="F66" s="15" t="s">
        <v>239</v>
      </c>
      <c r="G66" s="15" t="str">
        <f t="shared" si="9"/>
        <v>Blue basket has no bullet hole decals when shot</v>
      </c>
      <c r="H66" s="15" t="s">
        <v>233</v>
      </c>
      <c r="I66" s="15" t="s">
        <v>246</v>
      </c>
      <c r="J66" s="15" t="str">
        <f t="shared" si="10"/>
        <v>Blue basket has no bullet hole decals when shot
*Location(s):*
Admin MovePlayer 365820.13 114257.28 199.09 0 315.25 31.37 0.00
*Expected Results:*
The item should have proper decals when shot at</v>
      </c>
      <c r="K66" s="15" t="s">
        <v>309</v>
      </c>
      <c r="L66" s="23" t="str">
        <f t="shared" si="8"/>
        <v>https://jira.krafton.com/browse/PUBG-41558</v>
      </c>
    </row>
    <row r="67" spans="2:12" ht="89.25" hidden="1" x14ac:dyDescent="0.15">
      <c r="B67" s="24">
        <v>43885</v>
      </c>
      <c r="C67" s="15">
        <v>54</v>
      </c>
      <c r="D67" s="15" t="str">
        <f t="shared" si="11"/>
        <v>41559</v>
      </c>
      <c r="E67" s="15" t="str">
        <f t="shared" si="12"/>
        <v>DJ</v>
      </c>
      <c r="F67" s="15" t="s">
        <v>240</v>
      </c>
      <c r="G67" s="15" t="str">
        <f t="shared" si="9"/>
        <v>Rectangle pink table plate has no bullet hole decals when shot</v>
      </c>
      <c r="H67" s="15" t="s">
        <v>238</v>
      </c>
      <c r="I67" s="15" t="s">
        <v>246</v>
      </c>
      <c r="J67" s="15" t="str">
        <f t="shared" si="10"/>
        <v>Rectangle pink table plate has no bullet hole decals when shot
*Location(s):*
Admin MovePlayer 364853.38 113016.69 266.31 0 318.62 298.46 0.00
*Expected Results:*
The item should have proper decals when shot at</v>
      </c>
      <c r="K67" s="15" t="s">
        <v>310</v>
      </c>
      <c r="L67" s="23" t="str">
        <f t="shared" si="8"/>
        <v>https://jira.krafton.com/browse/PUBG-41559</v>
      </c>
    </row>
    <row r="68" spans="2:12" ht="89.25" hidden="1" x14ac:dyDescent="0.15">
      <c r="B68" s="24">
        <v>43885</v>
      </c>
      <c r="C68" s="15">
        <v>55</v>
      </c>
      <c r="D68" s="15" t="str">
        <f t="shared" si="11"/>
        <v>41560</v>
      </c>
      <c r="E68" s="15" t="str">
        <f t="shared" si="12"/>
        <v>DJ</v>
      </c>
      <c r="F68" s="15" t="s">
        <v>241</v>
      </c>
      <c r="G68" s="15" t="str">
        <f t="shared" si="9"/>
        <v>Rectangle pink table plate is clipped with table</v>
      </c>
      <c r="H68" s="15" t="s">
        <v>282</v>
      </c>
      <c r="I68" s="15" t="s">
        <v>242</v>
      </c>
      <c r="J68" s="15" t="str">
        <f t="shared" si="10"/>
        <v>Rectangle pink table plate is clipped with table
*Location(s):*
Admin MovePlayer 364927.31 112686.20 253.35 0 308.50 152.42 0.00
*Expected Results:*
The clipping issue should be fixed</v>
      </c>
      <c r="K68" s="15" t="s">
        <v>311</v>
      </c>
      <c r="L68" s="23" t="str">
        <f t="shared" si="8"/>
        <v>https://jira.krafton.com/browse/PUBG-41560</v>
      </c>
    </row>
    <row r="69" spans="2:12" ht="89.25" hidden="1" x14ac:dyDescent="0.15">
      <c r="B69" s="24">
        <v>43885</v>
      </c>
      <c r="C69" s="15">
        <v>56</v>
      </c>
      <c r="D69" s="15" t="str">
        <f t="shared" si="11"/>
        <v>41561</v>
      </c>
      <c r="E69" s="15" t="str">
        <f t="shared" si="12"/>
        <v>DJ</v>
      </c>
      <c r="F69" s="15" t="s">
        <v>256</v>
      </c>
      <c r="G69" s="15" t="str">
        <f t="shared" si="9"/>
        <v>Blue top bottle has no bullet hole decals when shot</v>
      </c>
      <c r="H69" s="15" t="s">
        <v>251</v>
      </c>
      <c r="I69" s="15" t="s">
        <v>246</v>
      </c>
      <c r="J69" s="15" t="str">
        <f t="shared" si="10"/>
        <v>Blue top bottle has no bullet hole decals when shot
*Location(s):*
Admin MovePlayer 364642.25 112682.17 268.95 0 311.98 312.70 0.00
*Expected Results:*
The item should have proper decals when shot at</v>
      </c>
      <c r="K69" s="15" t="s">
        <v>312</v>
      </c>
      <c r="L69" s="23" t="str">
        <f t="shared" si="8"/>
        <v>https://jira.krafton.com/browse/PUBG-41561</v>
      </c>
    </row>
    <row r="70" spans="2:12" ht="89.25" hidden="1" x14ac:dyDescent="0.15">
      <c r="B70" s="24">
        <v>43885</v>
      </c>
      <c r="C70" s="15">
        <v>57</v>
      </c>
      <c r="D70" s="15" t="str">
        <f t="shared" si="11"/>
        <v>41562</v>
      </c>
      <c r="E70" s="15" t="str">
        <f t="shared" si="12"/>
        <v>DJ</v>
      </c>
      <c r="F70" s="15" t="s">
        <v>254</v>
      </c>
      <c r="G70" s="15" t="str">
        <f t="shared" si="9"/>
        <v>Dirty cup with handle has no bullet hole decals when shot</v>
      </c>
      <c r="H70" s="15" t="s">
        <v>253</v>
      </c>
      <c r="I70" s="15" t="s">
        <v>246</v>
      </c>
      <c r="J70" s="15" t="str">
        <f t="shared" si="10"/>
        <v>Dirty cup with handle has no bullet hole decals when shot
*Location(s):*
Admin MovePlayer 364663.91 112662.79 267.29 0 312.59 312.65 0.00
*Expected Results:*
The item should have proper decals when shot at</v>
      </c>
      <c r="K70" s="15" t="s">
        <v>313</v>
      </c>
      <c r="L70" s="23" t="str">
        <f t="shared" si="8"/>
        <v>https://jira.krafton.com/browse/PUBG-41562</v>
      </c>
    </row>
    <row r="71" spans="2:12" ht="89.25" hidden="1" x14ac:dyDescent="0.15">
      <c r="B71" s="24">
        <v>43885</v>
      </c>
      <c r="C71" s="15">
        <v>58</v>
      </c>
      <c r="D71" s="15" t="str">
        <f t="shared" si="11"/>
        <v>41563</v>
      </c>
      <c r="E71" s="15" t="str">
        <f t="shared" si="12"/>
        <v>DJ</v>
      </c>
      <c r="F71" s="15" t="s">
        <v>258</v>
      </c>
      <c r="G71" s="15" t="str">
        <f t="shared" si="9"/>
        <v>Red and yellow flower pot has no bullet hole decals when shot</v>
      </c>
      <c r="H71" s="15" t="s">
        <v>257</v>
      </c>
      <c r="I71" s="15" t="s">
        <v>246</v>
      </c>
      <c r="J71" s="15" t="str">
        <f t="shared" ref="J71:J108" si="13">CONCATENATE(G71,CHAR(10),CHAR(10),"*Location(s):*",CHAR(10),H71,CHAR(10),CHAR(10),"*Expected Results:*",CHAR(10),I71)</f>
        <v>Red and yellow flower pot has no bullet hole decals when shot
*Location(s):*
Admin MovePlayer 366105.56 117395.38 269.96 0 317.00 141.29 0.00
*Expected Results:*
The item should have proper decals when shot at</v>
      </c>
      <c r="K71" s="15" t="s">
        <v>314</v>
      </c>
      <c r="L71" s="23" t="str">
        <f t="shared" ref="L71:L108" si="14">HYPERLINK(K71)</f>
        <v>https://jira.krafton.com/browse/PUBG-41563</v>
      </c>
    </row>
    <row r="72" spans="2:12" ht="114.75" hidden="1" x14ac:dyDescent="0.15">
      <c r="B72" s="24">
        <v>43885</v>
      </c>
      <c r="C72" s="15">
        <v>59</v>
      </c>
      <c r="D72" s="15" t="str">
        <f t="shared" si="11"/>
        <v>41564</v>
      </c>
      <c r="E72" s="15" t="str">
        <f t="shared" si="12"/>
        <v>DJ</v>
      </c>
      <c r="F72" s="15" t="s">
        <v>259</v>
      </c>
      <c r="G72" s="15" t="str">
        <f t="shared" si="9"/>
        <v>Grass is clipped with rocks</v>
      </c>
      <c r="H72" s="15" t="s">
        <v>281</v>
      </c>
      <c r="I72" s="15" t="s">
        <v>242</v>
      </c>
      <c r="J72" s="15" t="str">
        <f t="shared" si="13"/>
        <v>Grass is clipped with rocks
*Location(s):*
Admin MovePlayer 364988.38 110181.36 191.70 0 325.65 249.43 0.00
Admin MovePlayer 364536.63 109235.55 781.29 0 327.51 298.26 0.00
*Expected Results:*
The clipping issue should be fixed</v>
      </c>
      <c r="K72" s="15" t="s">
        <v>315</v>
      </c>
      <c r="L72" s="23" t="str">
        <f t="shared" si="14"/>
        <v>https://jira.krafton.com/browse/PUBG-41564</v>
      </c>
    </row>
    <row r="73" spans="2:12" ht="89.25" hidden="1" x14ac:dyDescent="0.15">
      <c r="B73" s="24">
        <v>43885</v>
      </c>
      <c r="C73" s="15">
        <v>60</v>
      </c>
      <c r="D73" s="15" t="str">
        <f t="shared" si="11"/>
        <v>41565</v>
      </c>
      <c r="E73" s="15" t="str">
        <f t="shared" si="12"/>
        <v>DJ</v>
      </c>
      <c r="F73" s="15" t="s">
        <v>261</v>
      </c>
      <c r="G73" s="15" t="str">
        <f t="shared" si="9"/>
        <v>Rock texture is of low resolution and looks corrupted</v>
      </c>
      <c r="H73" s="15" t="s">
        <v>260</v>
      </c>
      <c r="I73" s="15" t="s">
        <v>262</v>
      </c>
      <c r="J73" s="15" t="str">
        <f t="shared" si="13"/>
        <v>Rock texture is of low resolution and looks corrupted
*Location(s):*
Admin MovePlayer 364968.88 109963.48 238.41 0 6.00 215.33 0.00
*Expected Results:*
The Texture issue should be fixed</v>
      </c>
      <c r="K73" s="15" t="s">
        <v>316</v>
      </c>
      <c r="L73" s="23" t="str">
        <f t="shared" si="14"/>
        <v>https://jira.krafton.com/browse/PUBG-41565</v>
      </c>
    </row>
    <row r="74" spans="2:12" ht="89.25" hidden="1" x14ac:dyDescent="0.15">
      <c r="B74" s="24">
        <v>43885</v>
      </c>
      <c r="C74" s="15">
        <v>61</v>
      </c>
      <c r="D74" s="15" t="str">
        <f t="shared" si="11"/>
        <v>41566</v>
      </c>
      <c r="E74" s="15" t="str">
        <f t="shared" si="12"/>
        <v>DJ</v>
      </c>
      <c r="F74" s="15" t="s">
        <v>264</v>
      </c>
      <c r="G74" s="15" t="str">
        <f t="shared" si="9"/>
        <v>Blue pot with plant has no bullet hole decals when shot</v>
      </c>
      <c r="H74" s="15" t="s">
        <v>263</v>
      </c>
      <c r="I74" s="15" t="s">
        <v>246</v>
      </c>
      <c r="J74" s="15" t="str">
        <f t="shared" si="13"/>
        <v>Blue pot with plant has no bullet hole decals when shot
*Location(s):*
Admin MovePlayer 365408.75 119608.64 297.97 0 341.16 321.76 0.00
*Expected Results:*
The item should have proper decals when shot at</v>
      </c>
      <c r="K74" s="15" t="s">
        <v>317</v>
      </c>
      <c r="L74" s="23" t="str">
        <f t="shared" si="14"/>
        <v>https://jira.krafton.com/browse/PUBG-41566</v>
      </c>
    </row>
    <row r="75" spans="2:12" ht="89.25" hidden="1" x14ac:dyDescent="0.15">
      <c r="B75" s="24">
        <v>43885</v>
      </c>
      <c r="C75" s="15">
        <v>62</v>
      </c>
      <c r="D75" s="15" t="str">
        <f t="shared" si="11"/>
        <v>41568</v>
      </c>
      <c r="E75" s="15" t="str">
        <f t="shared" si="12"/>
        <v>DJ</v>
      </c>
      <c r="F75" s="15" t="s">
        <v>483</v>
      </c>
      <c r="G75" s="15" t="str">
        <f t="shared" si="9"/>
        <v>Red lantern has no bullet hole decals when shot</v>
      </c>
      <c r="H75" s="15" t="s">
        <v>265</v>
      </c>
      <c r="I75" s="15" t="s">
        <v>246</v>
      </c>
      <c r="J75" s="15" t="str">
        <f t="shared" si="13"/>
        <v>Red lantern has no bullet hole decals when shot
*Location(s):*
Admin MovePlayer 361029.84 116697.27 347.96 0 25.87 126.25 0.00
*Expected Results:*
The item should have proper decals when shot at</v>
      </c>
      <c r="K75" s="15" t="s">
        <v>318</v>
      </c>
      <c r="L75" s="23" t="str">
        <f t="shared" si="14"/>
        <v>https://jira.krafton.com/browse/PUBG-41568</v>
      </c>
    </row>
    <row r="76" spans="2:12" ht="89.25" hidden="1" x14ac:dyDescent="0.15">
      <c r="B76" s="24">
        <v>43885</v>
      </c>
      <c r="C76" s="15">
        <v>63</v>
      </c>
      <c r="D76" s="15" t="str">
        <f t="shared" si="11"/>
        <v>41569</v>
      </c>
      <c r="E76" s="15" t="str">
        <f t="shared" si="12"/>
        <v>DJ</v>
      </c>
      <c r="F76" s="15" t="s">
        <v>268</v>
      </c>
      <c r="G76" s="15" t="str">
        <f t="shared" si="9"/>
        <v>Grass is clipped with tree's base part</v>
      </c>
      <c r="H76" s="15" t="s">
        <v>266</v>
      </c>
      <c r="I76" s="15" t="s">
        <v>242</v>
      </c>
      <c r="J76" s="15" t="str">
        <f t="shared" si="13"/>
        <v>Grass is clipped with tree's base part
*Location(s):*
Admin MovePlayer 363142.94 122136.19 297.99 0 331.84 52.08 0.00
*Expected Results:*
The clipping issue should be fixed</v>
      </c>
      <c r="K76" s="15" t="s">
        <v>319</v>
      </c>
      <c r="L76" s="23" t="str">
        <f t="shared" si="14"/>
        <v>https://jira.krafton.com/browse/PUBG-41569</v>
      </c>
    </row>
    <row r="77" spans="2:12" ht="89.25" hidden="1" x14ac:dyDescent="0.15">
      <c r="B77" s="24">
        <v>43885</v>
      </c>
      <c r="C77" s="15">
        <v>64</v>
      </c>
      <c r="D77" s="15" t="str">
        <f t="shared" si="11"/>
        <v>41570</v>
      </c>
      <c r="E77" s="15" t="str">
        <f t="shared" si="12"/>
        <v>DJ</v>
      </c>
      <c r="F77" s="15" t="s">
        <v>269</v>
      </c>
      <c r="G77" s="15" t="str">
        <f t="shared" si="9"/>
        <v xml:space="preserve"> Grass is clipped with plastic bucket</v>
      </c>
      <c r="H77" s="15" t="s">
        <v>267</v>
      </c>
      <c r="I77" s="15" t="s">
        <v>242</v>
      </c>
      <c r="J77" s="15" t="str">
        <f t="shared" si="13"/>
        <v xml:space="preserve"> Grass is clipped with plastic bucket
*Location(s):*
Admin MovePlayer 361164.97 120077.13 297.98 0 295.34 150.50 0.00
*Expected Results:*
The clipping issue should be fixed</v>
      </c>
      <c r="K77" s="15" t="s">
        <v>320</v>
      </c>
      <c r="L77" s="23" t="str">
        <f t="shared" si="14"/>
        <v>https://jira.krafton.com/browse/PUBG-41570</v>
      </c>
    </row>
    <row r="78" spans="2:12" ht="89.25" hidden="1" x14ac:dyDescent="0.15">
      <c r="B78" s="24">
        <v>43885</v>
      </c>
      <c r="C78" s="15">
        <v>65</v>
      </c>
      <c r="D78" s="15" t="str">
        <f t="shared" si="11"/>
        <v>41571</v>
      </c>
      <c r="E78" s="15" t="str">
        <f t="shared" si="12"/>
        <v>DJ</v>
      </c>
      <c r="F78" s="15" t="s">
        <v>271</v>
      </c>
      <c r="G78" s="15" t="str">
        <f t="shared" si="9"/>
        <v xml:space="preserve"> Grass is clipped with wood poles on ground</v>
      </c>
      <c r="H78" s="15" t="s">
        <v>270</v>
      </c>
      <c r="I78" s="15" t="s">
        <v>246</v>
      </c>
      <c r="J78" s="15" t="str">
        <f t="shared" si="13"/>
        <v xml:space="preserve"> Grass is clipped with wood poles on ground
*Location(s):*
Admin MovePlayer 362970.03 118676.20 297.84 0 310.70 119.39 0.00
*Expected Results:*
The item should have proper decals when shot at</v>
      </c>
      <c r="K78" s="15" t="s">
        <v>321</v>
      </c>
      <c r="L78" s="23" t="str">
        <f t="shared" si="14"/>
        <v>https://jira.krafton.com/browse/PUBG-41571</v>
      </c>
    </row>
    <row r="79" spans="2:12" ht="89.25" hidden="1" x14ac:dyDescent="0.15">
      <c r="B79" s="24">
        <v>43885</v>
      </c>
      <c r="C79" s="15">
        <v>66</v>
      </c>
      <c r="D79" s="15" t="str">
        <f t="shared" si="11"/>
        <v>41572</v>
      </c>
      <c r="E79" s="15" t="str">
        <f t="shared" si="12"/>
        <v>DJ</v>
      </c>
      <c r="F79" s="15" t="s">
        <v>273</v>
      </c>
      <c r="G79" s="15" t="str">
        <f t="shared" si="9"/>
        <v xml:space="preserve"> Grass is clipped with wood blocks under house</v>
      </c>
      <c r="H79" s="15" t="s">
        <v>272</v>
      </c>
      <c r="I79" s="15" t="s">
        <v>246</v>
      </c>
      <c r="J79" s="15" t="str">
        <f t="shared" si="13"/>
        <v xml:space="preserve"> Grass is clipped with wood blocks under house
*Location(s):*
Admin MovePlayer 360080.56 116421.57 269.96 0 340.44 339.52 0.00
*Expected Results:*
The item should have proper decals when shot at</v>
      </c>
      <c r="K79" s="15" t="s">
        <v>322</v>
      </c>
      <c r="L79" s="23" t="str">
        <f t="shared" si="14"/>
        <v>https://jira.krafton.com/browse/PUBG-41572</v>
      </c>
    </row>
    <row r="80" spans="2:12" ht="114.75" hidden="1" x14ac:dyDescent="0.15">
      <c r="B80" s="24">
        <v>43885</v>
      </c>
      <c r="C80" s="15">
        <v>67</v>
      </c>
      <c r="D80" s="15" t="str">
        <f t="shared" si="11"/>
        <v>41573</v>
      </c>
      <c r="E80" s="15" t="str">
        <f t="shared" si="12"/>
        <v>DJ</v>
      </c>
      <c r="F80" s="15" t="s">
        <v>275</v>
      </c>
      <c r="G80" s="15" t="s">
        <v>276</v>
      </c>
      <c r="H80" s="15" t="s">
        <v>274</v>
      </c>
      <c r="I80" s="15" t="s">
        <v>246</v>
      </c>
      <c r="J80" s="15" t="str">
        <f t="shared" si="13"/>
        <v>Grass animation is not natural.
- One cluster of grass waves in different directions
- sometime one long grass bend in hard angles
*Location(s):*
Admin MovePlayer 359814.59 116272.03 269.96 0 322.84 185.29 0.00
*Expected Results:*
The item should have proper decals when shot at</v>
      </c>
      <c r="K80" s="15" t="s">
        <v>323</v>
      </c>
      <c r="L80" s="23" t="str">
        <f t="shared" si="14"/>
        <v>https://jira.krafton.com/browse/PUBG-41573</v>
      </c>
    </row>
    <row r="81" spans="2:12" ht="89.25" hidden="1" x14ac:dyDescent="0.15">
      <c r="B81" s="24">
        <v>43885</v>
      </c>
      <c r="C81" s="15">
        <v>68</v>
      </c>
      <c r="D81" s="15" t="str">
        <f t="shared" si="11"/>
        <v>41574</v>
      </c>
      <c r="E81" s="15" t="str">
        <f t="shared" si="12"/>
        <v>DJ</v>
      </c>
      <c r="F81" s="15" t="s">
        <v>278</v>
      </c>
      <c r="G81" s="15" t="str">
        <f t="shared" si="9"/>
        <v>Rock texture is of low resolution and looks corrupted</v>
      </c>
      <c r="H81" s="15" t="s">
        <v>277</v>
      </c>
      <c r="I81" s="15" t="s">
        <v>279</v>
      </c>
      <c r="J81" s="15" t="str">
        <f t="shared" si="13"/>
        <v>Rock texture is of low resolution and looks corrupted
*Location(s):*
Admin MovePlayer 357123.56 114077.94 273.69 0 355.41 165.06 0.00
*Expected Results:*
The animation should be fixed</v>
      </c>
      <c r="K81" s="15" t="s">
        <v>324</v>
      </c>
      <c r="L81" s="23" t="str">
        <f t="shared" si="14"/>
        <v>https://jira.krafton.com/browse/PUBG-41574</v>
      </c>
    </row>
    <row r="82" spans="2:12" ht="89.25" hidden="1" x14ac:dyDescent="0.15">
      <c r="B82" s="24">
        <v>43885</v>
      </c>
      <c r="C82" s="15">
        <v>69</v>
      </c>
      <c r="D82" s="15" t="str">
        <f t="shared" si="11"/>
        <v>41575</v>
      </c>
      <c r="E82" s="15" t="str">
        <f t="shared" si="12"/>
        <v>DJ</v>
      </c>
      <c r="F82" s="15" t="s">
        <v>287</v>
      </c>
      <c r="G82" s="15" t="str">
        <f t="shared" si="9"/>
        <v>Grass is clipped with concrete object merged under ground</v>
      </c>
      <c r="H82" s="15" t="s">
        <v>285</v>
      </c>
      <c r="I82" s="15" t="s">
        <v>242</v>
      </c>
      <c r="J82" s="15" t="str">
        <f t="shared" si="13"/>
        <v>Grass is clipped with concrete object merged under ground
*Location(s):*
Admin MovePlayer 344291.72 146983.48 762.81 0 321.30 288.21 0.00
*Expected Results:*
The clipping issue should be fixed</v>
      </c>
      <c r="K82" s="15" t="s">
        <v>325</v>
      </c>
      <c r="L82" s="23" t="str">
        <f t="shared" si="14"/>
        <v>https://jira.krafton.com/browse/PUBG-41575</v>
      </c>
    </row>
    <row r="83" spans="2:12" ht="89.25" hidden="1" x14ac:dyDescent="0.15">
      <c r="B83" s="24">
        <v>43885</v>
      </c>
      <c r="C83" s="15">
        <v>70</v>
      </c>
      <c r="D83" s="15" t="str">
        <f t="shared" si="11"/>
        <v>41576</v>
      </c>
      <c r="E83" s="15" t="str">
        <f t="shared" si="12"/>
        <v>DJ</v>
      </c>
      <c r="F83" s="15" t="s">
        <v>288</v>
      </c>
      <c r="G83" s="15" t="str">
        <f t="shared" si="9"/>
        <v>Barrels are clipped with concrete object</v>
      </c>
      <c r="H83" s="15" t="s">
        <v>286</v>
      </c>
      <c r="I83" s="15" t="s">
        <v>242</v>
      </c>
      <c r="J83" s="15" t="str">
        <f t="shared" si="13"/>
        <v>Barrels are clipped with concrete object
*Location(s):*
Admin MovePlayer 334749.31 152645.92 762.86 0 332.90 53.89 0.00
*Expected Results:*
The clipping issue should be fixed</v>
      </c>
      <c r="K83" s="15" t="s">
        <v>326</v>
      </c>
      <c r="L83" s="23" t="str">
        <f t="shared" si="14"/>
        <v>https://jira.krafton.com/browse/PUBG-41576</v>
      </c>
    </row>
    <row r="84" spans="2:12" ht="89.25" hidden="1" x14ac:dyDescent="0.15">
      <c r="B84" s="24">
        <v>43885</v>
      </c>
      <c r="C84" s="15">
        <v>71</v>
      </c>
      <c r="D84" s="15" t="str">
        <f t="shared" si="11"/>
        <v>41577</v>
      </c>
      <c r="E84" s="15" t="str">
        <f t="shared" si="12"/>
        <v>DJ</v>
      </c>
      <c r="F84" s="15" t="s">
        <v>288</v>
      </c>
      <c r="G84" s="15" t="str">
        <f t="shared" si="9"/>
        <v>Barrels are clipped with concrete object</v>
      </c>
      <c r="H84" s="15" t="s">
        <v>289</v>
      </c>
      <c r="I84" s="15" t="s">
        <v>242</v>
      </c>
      <c r="J84" s="15" t="str">
        <f t="shared" si="13"/>
        <v>Barrels are clipped with concrete object
*Location(s):*
Admin MovePlayer 336339.78 156834.52 762.81 0 320.58 45.68 0.00
*Expected Results:*
The clipping issue should be fixed</v>
      </c>
      <c r="K84" s="15" t="s">
        <v>327</v>
      </c>
      <c r="L84" s="23" t="str">
        <f t="shared" si="14"/>
        <v>https://jira.krafton.com/browse/PUBG-41577</v>
      </c>
    </row>
    <row r="85" spans="2:12" ht="89.25" hidden="1" x14ac:dyDescent="0.15">
      <c r="B85" s="24">
        <v>43885</v>
      </c>
      <c r="C85" s="15">
        <v>72</v>
      </c>
      <c r="D85" s="15" t="str">
        <f t="shared" si="11"/>
        <v>41578</v>
      </c>
      <c r="E85" s="15" t="str">
        <f t="shared" si="12"/>
        <v>DJ</v>
      </c>
      <c r="F85" s="15" t="s">
        <v>291</v>
      </c>
      <c r="G85" s="15" t="str">
        <f t="shared" si="9"/>
        <v>Barrels are clipped with walls</v>
      </c>
      <c r="H85" s="15" t="s">
        <v>290</v>
      </c>
      <c r="I85" s="15" t="s">
        <v>242</v>
      </c>
      <c r="J85" s="15" t="str">
        <f t="shared" si="13"/>
        <v>Barrels are clipped with walls
*Location(s):*
Admin MovePlayer 343517.47 160871.41 762.81 0 336.82 177.81 0.00
*Expected Results:*
The clipping issue should be fixed</v>
      </c>
      <c r="K85" s="15" t="s">
        <v>328</v>
      </c>
      <c r="L85" s="23" t="str">
        <f t="shared" si="14"/>
        <v>https://jira.krafton.com/browse/PUBG-41578</v>
      </c>
    </row>
    <row r="86" spans="2:12" ht="89.25" hidden="1" x14ac:dyDescent="0.15">
      <c r="B86" s="24">
        <v>43885</v>
      </c>
      <c r="C86" s="15">
        <v>73</v>
      </c>
      <c r="D86" s="15" t="str">
        <f t="shared" si="11"/>
        <v>41579</v>
      </c>
      <c r="E86" s="15" t="str">
        <f t="shared" si="12"/>
        <v>DJ</v>
      </c>
      <c r="F86" s="15" t="s">
        <v>288</v>
      </c>
      <c r="G86" s="15" t="str">
        <f t="shared" si="9"/>
        <v>Barrels are clipped with concrete object</v>
      </c>
      <c r="H86" s="15" t="s">
        <v>292</v>
      </c>
      <c r="I86" s="15" t="s">
        <v>242</v>
      </c>
      <c r="J86" s="15" t="str">
        <f t="shared" si="13"/>
        <v>Barrels are clipped with concrete object
*Location(s):*
Admin MovePlayer 342886.88 154209.38 762.81 0 343.86 29.85 0.00
*Expected Results:*
The clipping issue should be fixed</v>
      </c>
      <c r="K86" s="15" t="s">
        <v>329</v>
      </c>
      <c r="L86" s="23" t="str">
        <f t="shared" si="14"/>
        <v>https://jira.krafton.com/browse/PUBG-41579</v>
      </c>
    </row>
    <row r="87" spans="2:12" ht="89.25" hidden="1" x14ac:dyDescent="0.15">
      <c r="B87" s="24">
        <v>43885</v>
      </c>
      <c r="C87" s="15">
        <v>74</v>
      </c>
      <c r="D87" s="15" t="str">
        <f t="shared" si="11"/>
        <v>41580</v>
      </c>
      <c r="E87" s="15" t="str">
        <f t="shared" si="12"/>
        <v>DJ</v>
      </c>
      <c r="F87" s="15" t="s">
        <v>294</v>
      </c>
      <c r="G87" s="15" t="str">
        <f t="shared" si="9"/>
        <v>White box has not bullet hole decals when shot</v>
      </c>
      <c r="H87" s="15" t="s">
        <v>293</v>
      </c>
      <c r="I87" s="15" t="s">
        <v>246</v>
      </c>
      <c r="J87" s="15" t="str">
        <f t="shared" si="13"/>
        <v>White box has not bullet hole decals when shot
*Location(s):*
Admin MovePlayer 369005.41 200742.22 505.00 0 328.54 330.43 0.00
*Expected Results:*
The item should have proper decals when shot at</v>
      </c>
      <c r="K87" s="15" t="s">
        <v>330</v>
      </c>
      <c r="L87" s="23" t="str">
        <f t="shared" si="14"/>
        <v>https://jira.krafton.com/browse/PUBG-41580</v>
      </c>
    </row>
    <row r="88" spans="2:12" ht="89.25" hidden="1" x14ac:dyDescent="0.15">
      <c r="B88" s="24">
        <v>43885</v>
      </c>
      <c r="C88" s="15">
        <v>75</v>
      </c>
      <c r="D88" s="15" t="str">
        <f t="shared" si="11"/>
        <v>41581</v>
      </c>
      <c r="E88" s="15" t="str">
        <f t="shared" si="12"/>
        <v>DJ</v>
      </c>
      <c r="F88" s="15" t="s">
        <v>296</v>
      </c>
      <c r="G88" s="15" t="str">
        <f t="shared" si="9"/>
        <v>Grass is clipped with tree's base part</v>
      </c>
      <c r="H88" s="15" t="s">
        <v>295</v>
      </c>
      <c r="I88" s="15" t="s">
        <v>242</v>
      </c>
      <c r="J88" s="15" t="str">
        <f t="shared" si="13"/>
        <v>Grass is clipped with tree's base part
*Location(s):*
Admin MovePlayer 371334.44 195616.00 466.92 0 317.20 114.30 0.00
*Expected Results:*
The clipping issue should be fixed</v>
      </c>
      <c r="K88" s="15" t="s">
        <v>331</v>
      </c>
      <c r="L88" s="23" t="str">
        <f t="shared" si="14"/>
        <v>https://jira.krafton.com/browse/PUBG-41581</v>
      </c>
    </row>
    <row r="89" spans="2:12" ht="409.5" hidden="1" x14ac:dyDescent="0.15">
      <c r="B89" s="24">
        <v>43886</v>
      </c>
      <c r="C89" s="15">
        <v>76</v>
      </c>
      <c r="D89" s="15" t="str">
        <f t="shared" si="11"/>
        <v>41698</v>
      </c>
      <c r="E89" s="15" t="str">
        <f t="shared" si="12"/>
        <v>DJ</v>
      </c>
      <c r="F89" s="15" t="s">
        <v>348</v>
      </c>
      <c r="G89" s="15" t="s">
        <v>349</v>
      </c>
      <c r="H89" s="15" t="s">
        <v>347</v>
      </c>
      <c r="I89" s="15" t="s">
        <v>242</v>
      </c>
      <c r="J89" s="15" t="str">
        <f t="shared" si="13"/>
        <v>Grass is clipped into 3 warehouses' foundations. Some can be seen inside the house.
*Location(s):*
Admin MovePlayer 327075.44 189745.69 4038.77 0 326.80 196.36 0.00
Admin MovePlayer 327197.03 189095.80 4045.51 0 318.30 224.51 0.00
Admin MovePlayer 327545.66 187530.28 4038.72 0 319.80 146.51 0.00
Admin MovePlayer 327146.66 186203.89 4023.57 0 327.20 168.26 0.00
Admin MovePlayer 321525.09 180239.83 4057.95 0 327.76 352.56 0.00
Admin MovePlayer 319711.25 180742.38 4050.09 0 323.26 48.76 0.00
Admin MovePlayer 319572.78 181828.34 4050.31 0 326.31 274.22 0.00
Admin MovePlayer 319650.78 182308.63 4050.31 0 324.36 285.17 0.00
Admin MovePlayer 319846.72 182628.70 4050.03 0 315.76 246.77 0.00
Admin MovePlayer 318000.50 184463.84 4050.31 0 328.36 158.78 0.00
Admin MovePlayer 317597.19 184777.83 4077.02 0 326.06 249.67 0.00
Admin MovePlayer 317452.00 184388.69 4050.31 0 306.76 97.57 0.00
Admin MovePlayer 317196.16 185388.25 4050.31 0 322.46 54.03 0.00
Admin MovePlayer 317120.78 186506.41 4050.14 0 324.16 53.08 0.00
Admin MovePlayer 316970.69 187034.91 4050.09 0 321.96 21.28 0.00
Admin MovePlayer 316998.44 187697.19 4048.62 0 330.81 59.23 0.00
Admin MovePlayer 317305.59 188082.72 4077.02 0 310.95 207.93 0.00
*Expected Results:*
The clipping issue should be fixed</v>
      </c>
      <c r="K89" s="15" t="s">
        <v>393</v>
      </c>
      <c r="L89" s="23" t="str">
        <f t="shared" si="14"/>
        <v>https://jira.krafton.com/browse/PUBG-41698</v>
      </c>
    </row>
    <row r="90" spans="2:12" ht="89.25" hidden="1" x14ac:dyDescent="0.15">
      <c r="B90" s="24">
        <v>43886</v>
      </c>
      <c r="C90" s="15">
        <v>77</v>
      </c>
      <c r="D90" s="15" t="str">
        <f t="shared" si="11"/>
        <v>41700</v>
      </c>
      <c r="E90" s="15" t="str">
        <f t="shared" si="12"/>
        <v>DJ</v>
      </c>
      <c r="F90" s="15" t="s">
        <v>333</v>
      </c>
      <c r="G90" s="15" t="str">
        <f t="shared" si="9"/>
        <v>One target frame is clipped into wall and ground</v>
      </c>
      <c r="H90" s="15" t="s">
        <v>332</v>
      </c>
      <c r="I90" s="15" t="s">
        <v>242</v>
      </c>
      <c r="J90" s="15" t="str">
        <f t="shared" si="13"/>
        <v>One target frame is clipped into wall and ground
*Location(s):*
Admin MovePlayer 327225.75 186592.08 4067.07 0 332.94 251.74 0.00
*Expected Results:*
The clipping issue should be fixed</v>
      </c>
      <c r="K90" s="15" t="s">
        <v>394</v>
      </c>
      <c r="L90" s="23" t="str">
        <f t="shared" si="14"/>
        <v>https://jira.krafton.com/browse/PUBG-41700</v>
      </c>
    </row>
    <row r="91" spans="2:12" ht="255" hidden="1" x14ac:dyDescent="0.15">
      <c r="B91" s="24">
        <v>43886</v>
      </c>
      <c r="C91" s="15">
        <v>78</v>
      </c>
      <c r="D91" s="15" t="str">
        <f t="shared" si="11"/>
        <v>41701</v>
      </c>
      <c r="E91" s="15" t="str">
        <f t="shared" si="12"/>
        <v>DJ</v>
      </c>
      <c r="F91" s="15" t="s">
        <v>336</v>
      </c>
      <c r="G91" s="15" t="str">
        <f t="shared" si="9"/>
        <v>Wwood crates are clipped into wall</v>
      </c>
      <c r="H91" s="15" t="s">
        <v>350</v>
      </c>
      <c r="I91" s="15" t="s">
        <v>242</v>
      </c>
      <c r="J91" s="15" t="str">
        <f t="shared" si="13"/>
        <v>Wwood crates are clipped into wall
*Location(s):*
Admin MovePlayer 327117.84 187346.59 4067.07 0 352.45 321.05 0.00
Admin MovePlayer 327422.47 186972.25 4293.51 0 320.10 311.96 0.00
Admin MovePlayer 327560.00 186614.45 4265.38 0 317.23 315.91 0.00
Admin MovePlayer 326975.50 188942.34 4067.07 0 354.68 282.36 0.00
Admin MovePlayer 327027.69 188435.92 4293.51 0 322.10 330.77 0.00
Admin MovePlayer 317503.97 187419.81 4077.02 0 349.70 129.49 0.00
Admin MovePlayer 317207.28 187856.70 4312.08 0 313.30 105.29 0.00
*Expected Results:*
The clipping issue should be fixed</v>
      </c>
      <c r="K91" s="15" t="s">
        <v>395</v>
      </c>
      <c r="L91" s="23" t="str">
        <f t="shared" si="14"/>
        <v>https://jira.krafton.com/browse/PUBG-41701</v>
      </c>
    </row>
    <row r="92" spans="2:12" ht="114.75" hidden="1" x14ac:dyDescent="0.15">
      <c r="B92" s="24">
        <v>43886</v>
      </c>
      <c r="C92" s="15">
        <v>79</v>
      </c>
      <c r="D92" s="15" t="str">
        <f t="shared" si="11"/>
        <v>41702</v>
      </c>
      <c r="E92" s="15" t="str">
        <f t="shared" si="12"/>
        <v>DJ</v>
      </c>
      <c r="F92" s="15" t="s">
        <v>352</v>
      </c>
      <c r="G92" s="15" t="str">
        <f t="shared" si="9"/>
        <v>Wood crates are clipped with pillar's cement base</v>
      </c>
      <c r="H92" s="15" t="s">
        <v>351</v>
      </c>
      <c r="I92" s="15" t="s">
        <v>242</v>
      </c>
      <c r="J92" s="15" t="str">
        <f t="shared" si="13"/>
        <v>Wood crates are clipped with pillar's cement base
*Location(s):*
Admin MovePlayer 327083.56 187103.61 4067.07 0 332.63 136.14 0.00
Admin MovePlayer 317562.75 187704.61 4077.02 0 329.15 299.44 0.00
*Expected Results:*
The clipping issue should be fixed</v>
      </c>
      <c r="K92" s="15" t="s">
        <v>396</v>
      </c>
      <c r="L92" s="23" t="str">
        <f t="shared" si="14"/>
        <v>https://jira.krafton.com/browse/PUBG-41702</v>
      </c>
    </row>
    <row r="93" spans="2:12" ht="89.25" hidden="1" x14ac:dyDescent="0.15">
      <c r="B93" s="24">
        <v>43886</v>
      </c>
      <c r="C93" s="15">
        <v>80</v>
      </c>
      <c r="D93" s="15" t="str">
        <f t="shared" si="11"/>
        <v>41703</v>
      </c>
      <c r="E93" s="15" t="str">
        <f t="shared" si="12"/>
        <v>DJ</v>
      </c>
      <c r="F93" s="15" t="s">
        <v>334</v>
      </c>
      <c r="G93" s="15" t="str">
        <f t="shared" si="9"/>
        <v>One target frame is clipped into ground</v>
      </c>
      <c r="H93" s="15" t="s">
        <v>335</v>
      </c>
      <c r="I93" s="15" t="s">
        <v>242</v>
      </c>
      <c r="J93" s="15" t="str">
        <f t="shared" si="13"/>
        <v>One target frame is clipped into ground
*Location(s):*
Admin MovePlayer 325929.66 186898.14 4067.07 0 334.43 343.47 0.00
*Expected Results:*
The clipping issue should be fixed</v>
      </c>
      <c r="K93" s="15" t="s">
        <v>397</v>
      </c>
      <c r="L93" s="23" t="str">
        <f t="shared" si="14"/>
        <v>https://jira.krafton.com/browse/PUBG-41703</v>
      </c>
    </row>
    <row r="94" spans="2:12" ht="89.25" hidden="1" x14ac:dyDescent="0.15">
      <c r="B94" s="24">
        <v>43886</v>
      </c>
      <c r="C94" s="15">
        <v>81</v>
      </c>
      <c r="D94" s="15" t="str">
        <f t="shared" si="11"/>
        <v>41704</v>
      </c>
      <c r="E94" s="15" t="str">
        <f t="shared" si="12"/>
        <v>DJ</v>
      </c>
      <c r="F94" s="15" t="s">
        <v>338</v>
      </c>
      <c r="G94" s="15" t="str">
        <f t="shared" si="9"/>
        <v>Target stand is clipped into wall</v>
      </c>
      <c r="H94" s="15" t="s">
        <v>337</v>
      </c>
      <c r="I94" s="15" t="s">
        <v>242</v>
      </c>
      <c r="J94" s="15" t="str">
        <f t="shared" si="13"/>
        <v>Target stand is clipped into wall
*Location(s):*
Admin MovePlayer 326777.31 189254.75 4067.07 0 358.57 89.80 0.00
*Expected Results:*
The clipping issue should be fixed</v>
      </c>
      <c r="K94" s="15" t="s">
        <v>398</v>
      </c>
      <c r="L94" s="23" t="str">
        <f t="shared" si="14"/>
        <v>https://jira.krafton.com/browse/PUBG-41704</v>
      </c>
    </row>
    <row r="95" spans="2:12" ht="89.25" hidden="1" x14ac:dyDescent="0.15">
      <c r="B95" s="24">
        <v>43886</v>
      </c>
      <c r="C95" s="15">
        <v>82</v>
      </c>
      <c r="D95" s="15" t="str">
        <f t="shared" si="11"/>
        <v>41705</v>
      </c>
      <c r="E95" s="15" t="str">
        <f t="shared" si="12"/>
        <v>DJ</v>
      </c>
      <c r="F95" s="15" t="s">
        <v>340</v>
      </c>
      <c r="G95" s="15" t="str">
        <f t="shared" si="9"/>
        <v>Wood crate fall from truck is floating</v>
      </c>
      <c r="H95" s="15" t="s">
        <v>339</v>
      </c>
      <c r="I95" s="15" t="s">
        <v>341</v>
      </c>
      <c r="J95" s="15" t="str">
        <f t="shared" si="13"/>
        <v>Wood crate fall from truck is floating
*Location(s):*
Admin MovePlayer 325546.44 182641.73 4003.27 0 8.61 149.31 0.00
*Expected Results:*
The floating issue should be fixed</v>
      </c>
      <c r="K95" s="23" t="s">
        <v>414</v>
      </c>
      <c r="L95" s="23" t="str">
        <f t="shared" si="14"/>
        <v>https://jira.krafton.com/browse/PUBG-41705</v>
      </c>
    </row>
    <row r="96" spans="2:12" ht="89.25" hidden="1" x14ac:dyDescent="0.15">
      <c r="B96" s="24">
        <v>43886</v>
      </c>
      <c r="C96" s="15">
        <v>83</v>
      </c>
      <c r="D96" s="15" t="str">
        <f t="shared" si="11"/>
        <v>41706</v>
      </c>
      <c r="E96" s="15" t="str">
        <f t="shared" si="12"/>
        <v>DJ</v>
      </c>
      <c r="F96" s="15" t="s">
        <v>343</v>
      </c>
      <c r="G96" s="15" t="str">
        <f t="shared" si="9"/>
        <v>2 Target frames are clipped with each other</v>
      </c>
      <c r="H96" s="15" t="s">
        <v>344</v>
      </c>
      <c r="I96" s="15" t="s">
        <v>242</v>
      </c>
      <c r="J96" s="15" t="str">
        <f t="shared" si="13"/>
        <v>2 Target frames are clipped with each other
*Location(s):*
Admin MovePlayer 322130.63 186851.20 4050.31 0 306.08 188.67 0.00
*Expected Results:*
The clipping issue should be fixed</v>
      </c>
      <c r="K96" s="15" t="s">
        <v>399</v>
      </c>
      <c r="L96" s="23" t="str">
        <f t="shared" si="14"/>
        <v>https://jira.krafton.com/browse/PUBG-41706</v>
      </c>
    </row>
    <row r="97" spans="2:12" ht="89.25" hidden="1" x14ac:dyDescent="0.15">
      <c r="B97" s="24">
        <v>43886</v>
      </c>
      <c r="C97" s="15">
        <v>84</v>
      </c>
      <c r="D97" s="15" t="str">
        <f t="shared" si="11"/>
        <v>41707</v>
      </c>
      <c r="E97" s="15" t="str">
        <f t="shared" si="12"/>
        <v>DJ</v>
      </c>
      <c r="F97" s="15" t="s">
        <v>346</v>
      </c>
      <c r="G97" s="15" t="str">
        <f t="shared" si="9"/>
        <v>One target frame is clipped into wall</v>
      </c>
      <c r="H97" s="15" t="s">
        <v>345</v>
      </c>
      <c r="I97" s="15" t="s">
        <v>242</v>
      </c>
      <c r="J97" s="15" t="str">
        <f t="shared" si="13"/>
        <v>One target frame is clipped into wall
*Location(s):*
Admin MovePlayer 319652.69 181427.78 4077.81 0 328.93 109.07 0.00
*Expected Results:*
The clipping issue should be fixed</v>
      </c>
      <c r="K97" s="15" t="s">
        <v>400</v>
      </c>
      <c r="L97" s="23" t="str">
        <f t="shared" si="14"/>
        <v>https://jira.krafton.com/browse/PUBG-41707</v>
      </c>
    </row>
    <row r="98" spans="2:12" ht="140.25" hidden="1" x14ac:dyDescent="0.15">
      <c r="B98" s="24">
        <v>43886</v>
      </c>
      <c r="C98" s="15">
        <v>85</v>
      </c>
      <c r="D98" s="15" t="str">
        <f t="shared" ref="D98:D129" si="15">RIGHT(K98,5)</f>
        <v>41708</v>
      </c>
      <c r="E98" s="15" t="str">
        <f t="shared" ref="E98:E113" si="16">MID(F98,2,2)</f>
        <v>DJ</v>
      </c>
      <c r="F98" s="15" t="s">
        <v>353</v>
      </c>
      <c r="G98" s="15" t="str">
        <f t="shared" si="9"/>
        <v>Grass is clipped with wood pole on ground</v>
      </c>
      <c r="H98" s="15" t="s">
        <v>385</v>
      </c>
      <c r="I98" s="15" t="s">
        <v>242</v>
      </c>
      <c r="J98" s="15" t="str">
        <f t="shared" si="13"/>
        <v>Grass is clipped with wood pole on ground
*Location(s):*
Admin MovePlayer 369516.50 199657.38 504.82 0 310.44 265.50 0.00
Admin MovePlayer 369419.16 199360.20 504.74 0 313.55 76.91 0.00
Admin MovePlayer 348766.41 130201.96 875.06 0 319.20 283.38 0.00
*Expected Results:*
The clipping issue should be fixed</v>
      </c>
      <c r="K98" s="15" t="s">
        <v>401</v>
      </c>
      <c r="L98" s="23" t="str">
        <f t="shared" si="14"/>
        <v>https://jira.krafton.com/browse/PUBG-41708</v>
      </c>
    </row>
    <row r="99" spans="2:12" ht="89.25" hidden="1" x14ac:dyDescent="0.15">
      <c r="B99" s="24">
        <v>43886</v>
      </c>
      <c r="C99" s="15">
        <v>86</v>
      </c>
      <c r="D99" s="15" t="str">
        <f t="shared" si="15"/>
        <v>41709</v>
      </c>
      <c r="E99" s="15" t="str">
        <f t="shared" si="16"/>
        <v>DJ</v>
      </c>
      <c r="F99" s="15" t="s">
        <v>356</v>
      </c>
      <c r="G99" s="15" t="str">
        <f t="shared" si="9"/>
        <v>There is a hole in the shadow texture of a double ear pot</v>
      </c>
      <c r="H99" s="15" t="s">
        <v>355</v>
      </c>
      <c r="I99" s="15" t="s">
        <v>262</v>
      </c>
      <c r="J99" s="15" t="str">
        <f t="shared" si="13"/>
        <v>There is a hole in the shadow texture of a double ear pot
*Location(s):*
Admin MovePlayer 370081.63 200742.67 503.94 0 332.71 105.80 0.00
*Expected Results:*
The Texture issue should be fixed</v>
      </c>
      <c r="K99" s="15" t="s">
        <v>402</v>
      </c>
      <c r="L99" s="23" t="str">
        <f t="shared" si="14"/>
        <v>https://jira.krafton.com/browse/PUBG-41709</v>
      </c>
    </row>
    <row r="100" spans="2:12" ht="89.25" hidden="1" x14ac:dyDescent="0.15">
      <c r="B100" s="24">
        <v>43886</v>
      </c>
      <c r="C100" s="15">
        <v>87</v>
      </c>
      <c r="D100" s="15" t="str">
        <f t="shared" si="15"/>
        <v>41710</v>
      </c>
      <c r="E100" s="15" t="str">
        <f t="shared" si="16"/>
        <v>DJ</v>
      </c>
      <c r="F100" s="15" t="s">
        <v>361</v>
      </c>
      <c r="G100" s="15" t="str">
        <f t="shared" si="9"/>
        <v>LOD issue occurs on the white bottle on trolley</v>
      </c>
      <c r="H100" s="15" t="s">
        <v>360</v>
      </c>
      <c r="I100" s="15" t="s">
        <v>362</v>
      </c>
      <c r="J100" s="15" t="str">
        <f t="shared" si="13"/>
        <v>LOD issue occurs on the white bottle on trolley
*Location(s):*
Admin MovePlayer 369119.13 201262.06 505.01 0 340.21 350.41 0.00
*Expected Results:*
The LOD issue should be fixed</v>
      </c>
      <c r="K100" s="15" t="s">
        <v>403</v>
      </c>
      <c r="L100" s="23" t="str">
        <f t="shared" si="14"/>
        <v>https://jira.krafton.com/browse/PUBG-41710</v>
      </c>
    </row>
    <row r="101" spans="2:12" ht="165.75" hidden="1" x14ac:dyDescent="0.15">
      <c r="B101" s="24">
        <v>43886</v>
      </c>
      <c r="C101" s="15">
        <v>88</v>
      </c>
      <c r="D101" s="15" t="str">
        <f t="shared" si="15"/>
        <v>41711</v>
      </c>
      <c r="E101" s="15" t="str">
        <f t="shared" si="16"/>
        <v>DJ</v>
      </c>
      <c r="F101" s="15" t="s">
        <v>363</v>
      </c>
      <c r="G101" s="15" t="str">
        <f t="shared" si="9"/>
        <v>The grass is clipped with wood stairs</v>
      </c>
      <c r="H101" s="15" t="s">
        <v>415</v>
      </c>
      <c r="I101" s="15" t="s">
        <v>242</v>
      </c>
      <c r="J101" s="15" t="str">
        <f t="shared" si="13"/>
        <v>The grass is clipped with wood stairs
*Location(s):*
Admin MovePlayer 368508.84 199278.48 504.42 0 316.16 90.84 0.00
Admin MovePlayer 335714.47 129108.16 1740.02 0 324.39 176.73 0.00
Admin MovePlayer 331922.50 128434.04 1750.46 0 309.68 140.02 0.00
Admin MovePlayer 380516.00 147747.94 267.50 0 308.03 227.81 0.00
*Expected Results:*
The clipping issue should be fixed</v>
      </c>
      <c r="K101" s="15" t="s">
        <v>404</v>
      </c>
      <c r="L101" s="23" t="str">
        <f t="shared" si="14"/>
        <v>https://jira.krafton.com/browse/PUBG-41711</v>
      </c>
    </row>
    <row r="102" spans="2:12" ht="89.25" hidden="1" x14ac:dyDescent="0.15">
      <c r="B102" s="24">
        <v>43886</v>
      </c>
      <c r="C102" s="15">
        <v>89</v>
      </c>
      <c r="D102" s="15" t="str">
        <f t="shared" si="15"/>
        <v/>
      </c>
      <c r="E102" s="15" t="str">
        <f t="shared" si="16"/>
        <v>er</v>
      </c>
      <c r="F102" s="15" t="s">
        <v>386</v>
      </c>
      <c r="G102" s="15" t="str">
        <f>RIGHT(F102,LEN(F102)-13)</f>
        <v>85</v>
      </c>
      <c r="I102" s="15" t="s">
        <v>242</v>
      </c>
      <c r="J102" s="15" t="str">
        <f t="shared" si="13"/>
        <v>85
*Location(s):*
*Expected Results:*
The clipping issue should be fixed</v>
      </c>
      <c r="L102" s="23" t="str">
        <f t="shared" si="14"/>
        <v/>
      </c>
    </row>
    <row r="103" spans="2:12" ht="191.25" hidden="1" x14ac:dyDescent="0.15">
      <c r="B103" s="24">
        <v>43886</v>
      </c>
      <c r="C103" s="15">
        <v>90</v>
      </c>
      <c r="D103" s="15" t="str">
        <f t="shared" si="15"/>
        <v>41712</v>
      </c>
      <c r="E103" s="15" t="str">
        <f t="shared" si="16"/>
        <v>DJ</v>
      </c>
      <c r="F103" s="15" t="s">
        <v>364</v>
      </c>
      <c r="G103" s="15" t="str">
        <f t="shared" si="9"/>
        <v>Grass is clipped with wood plates on ground</v>
      </c>
      <c r="H103" s="15" t="s">
        <v>387</v>
      </c>
      <c r="I103" s="15" t="s">
        <v>246</v>
      </c>
      <c r="J103" s="15" t="str">
        <f t="shared" si="13"/>
        <v>Grass is clipped with wood plates on ground
*Location(s):*
Admin MovePlayer 325474.13 102960.23 2756.33 0 323.20 327.46 0.00
Admin MovePlayer 348019.22 128738.97 900.18 0 318.90 62.50 0.00
Admin MovePlayer 345929.81 126173.43 868.92 0 332.05 52.84 0.00
Admin MovePlayer 334665.03 129416.45 1764.84 0 303.16 210.86 0.00
Admin MovePlayer 330680.72 129853.25 1764.84 0 321.28 205.40 0.00
*Expected Results:*
The item should have proper decals when shot at</v>
      </c>
      <c r="K103" s="15" t="s">
        <v>405</v>
      </c>
      <c r="L103" s="23" t="str">
        <f t="shared" si="14"/>
        <v>https://jira.krafton.com/browse/PUBG-41712</v>
      </c>
    </row>
    <row r="104" spans="2:12" ht="89.25" hidden="1" x14ac:dyDescent="0.15">
      <c r="B104" s="24">
        <v>43886</v>
      </c>
      <c r="C104" s="15">
        <v>91</v>
      </c>
      <c r="D104" s="15" t="str">
        <f t="shared" si="15"/>
        <v>41714</v>
      </c>
      <c r="E104" s="15" t="str">
        <f t="shared" si="16"/>
        <v>DJ</v>
      </c>
      <c r="F104" s="15" t="s">
        <v>365</v>
      </c>
      <c r="G104" s="15" t="s">
        <v>367</v>
      </c>
      <c r="H104" s="15" t="s">
        <v>366</v>
      </c>
      <c r="I104" s="15" t="s">
        <v>368</v>
      </c>
      <c r="J104" s="15" t="str">
        <f t="shared" si="13"/>
        <v>Stair handrail is too long that the pillar connects with ground
*Location(s):*
Admin MovePlayer 325444.16 103746.67 2733.71 0 340.90 277.52 0.00
*Expected Results:*
The handrail should be shortened and the last pillar removed on each side.</v>
      </c>
      <c r="K104" s="15" t="s">
        <v>406</v>
      </c>
      <c r="L104" s="23" t="str">
        <f t="shared" si="14"/>
        <v>https://jira.krafton.com/browse/PUBG-41714</v>
      </c>
    </row>
    <row r="105" spans="2:12" ht="114.75" hidden="1" x14ac:dyDescent="0.15">
      <c r="B105" s="24">
        <v>43886</v>
      </c>
      <c r="C105" s="15">
        <v>92</v>
      </c>
      <c r="D105" s="15" t="str">
        <f t="shared" si="15"/>
        <v>41715</v>
      </c>
      <c r="E105" s="15" t="str">
        <f t="shared" si="16"/>
        <v>DJ</v>
      </c>
      <c r="F105" s="15" t="s">
        <v>369</v>
      </c>
      <c r="G105" s="15" t="str">
        <f t="shared" si="9"/>
        <v>Grass is clipped with wood racks</v>
      </c>
      <c r="H105" s="15" t="s">
        <v>391</v>
      </c>
      <c r="I105" s="15" t="s">
        <v>242</v>
      </c>
      <c r="J105" s="15" t="str">
        <f t="shared" si="13"/>
        <v>Grass is clipped with wood racks
*Location(s):*
Admin MovePlayer 324582.50 102489.56 2763.59 0 297.95 319.05 0.00
Admin MovePlayer 345461.63 128873.37 835.46 0 324.33 101.12 0.00
*Expected Results:*
The clipping issue should be fixed</v>
      </c>
      <c r="K105" s="15" t="s">
        <v>407</v>
      </c>
      <c r="L105" s="23" t="str">
        <f t="shared" si="14"/>
        <v>https://jira.krafton.com/browse/PUBG-41715</v>
      </c>
    </row>
    <row r="106" spans="2:12" ht="89.25" hidden="1" x14ac:dyDescent="0.15">
      <c r="B106" s="24">
        <v>43886</v>
      </c>
      <c r="C106" s="15">
        <v>93</v>
      </c>
      <c r="D106" s="15" t="str">
        <f t="shared" si="15"/>
        <v>41717</v>
      </c>
      <c r="E106" s="15" t="str">
        <f t="shared" si="16"/>
        <v>DJ</v>
      </c>
      <c r="F106" s="15" t="s">
        <v>371</v>
      </c>
      <c r="G106" s="15" t="str">
        <f t="shared" si="9"/>
        <v>LOD issue occurs on the house roof</v>
      </c>
      <c r="H106" s="15" t="s">
        <v>370</v>
      </c>
      <c r="I106" s="15" t="s">
        <v>362</v>
      </c>
      <c r="J106" s="15" t="str">
        <f t="shared" si="13"/>
        <v>LOD issue occurs on the house roof
*Location(s):*
Admin MovePlayer 303116.50 104715.37 2535.26 0 0.20 16.57 0.00
*Expected Results:*
The LOD issue should be fixed</v>
      </c>
      <c r="K106" s="15" t="s">
        <v>408</v>
      </c>
      <c r="L106" s="23" t="str">
        <f t="shared" si="14"/>
        <v>https://jira.krafton.com/browse/PUBG-41717</v>
      </c>
    </row>
    <row r="107" spans="2:12" ht="102" hidden="1" x14ac:dyDescent="0.15">
      <c r="B107" s="24">
        <v>43886</v>
      </c>
      <c r="C107" s="15">
        <v>94</v>
      </c>
      <c r="D107" s="15" t="str">
        <f t="shared" si="15"/>
        <v>41718</v>
      </c>
      <c r="E107" s="15" t="str">
        <f t="shared" si="16"/>
        <v>DJ</v>
      </c>
      <c r="F107" s="15" t="s">
        <v>372</v>
      </c>
      <c r="G107" s="15" t="s">
        <v>374</v>
      </c>
      <c r="H107" s="15" t="s">
        <v>373</v>
      </c>
      <c r="I107" s="15" t="s">
        <v>242</v>
      </c>
      <c r="J107" s="15" t="str">
        <f t="shared" si="13"/>
        <v>Picup item is clipped into ground surface. Noticeable that the white outline of the object is cut off.
*Location(s):*
Admin MovePlayer 346773.81 130207.34 912.86 0 293.90 137.87 0.00
*Expected Results:*
The clipping issue should be fixed</v>
      </c>
      <c r="K107" s="23" t="s">
        <v>409</v>
      </c>
      <c r="L107" s="23" t="str">
        <f t="shared" si="14"/>
        <v>https://jira.krafton.com/browse/PUBG-41718</v>
      </c>
    </row>
    <row r="108" spans="2:12" ht="89.25" hidden="1" x14ac:dyDescent="0.15">
      <c r="B108" s="24">
        <v>43886</v>
      </c>
      <c r="C108" s="15">
        <v>95</v>
      </c>
      <c r="D108" s="15" t="str">
        <f t="shared" si="15"/>
        <v/>
      </c>
      <c r="E108" s="15" t="str">
        <f t="shared" si="16"/>
        <v>er</v>
      </c>
      <c r="F108" s="15" t="s">
        <v>392</v>
      </c>
      <c r="G108" s="15" t="str">
        <f t="shared" si="9"/>
        <v>2</v>
      </c>
      <c r="I108" s="15" t="s">
        <v>246</v>
      </c>
      <c r="J108" s="15" t="str">
        <f t="shared" si="13"/>
        <v>2
*Location(s):*
*Expected Results:*
The item should have proper decals when shot at</v>
      </c>
      <c r="L108" s="23" t="str">
        <f t="shared" si="14"/>
        <v/>
      </c>
    </row>
    <row r="109" spans="2:12" ht="89.25" hidden="1" x14ac:dyDescent="0.15">
      <c r="B109" s="24">
        <v>43886</v>
      </c>
      <c r="C109" s="15">
        <v>96</v>
      </c>
      <c r="D109" s="15" t="str">
        <f t="shared" si="15"/>
        <v>41719</v>
      </c>
      <c r="E109" s="15" t="str">
        <f t="shared" si="16"/>
        <v>DJ</v>
      </c>
      <c r="F109" s="15" t="s">
        <v>376</v>
      </c>
      <c r="G109" s="15" t="str">
        <f t="shared" ref="G109:G113" si="17">RIGHT(F109,LEN(F109)-13)</f>
        <v>Big blue capped barrel is cliiped with tarpaulin on ground</v>
      </c>
      <c r="H109" s="15" t="s">
        <v>375</v>
      </c>
      <c r="I109" s="15" t="s">
        <v>242</v>
      </c>
      <c r="J109" s="15" t="str">
        <f t="shared" ref="J109:J113" si="18">CONCATENATE(G109,CHAR(10),CHAR(10),"*Location(s):*",CHAR(10),H109,CHAR(10),CHAR(10),"*Expected Results:*",CHAR(10),I109)</f>
        <v>Big blue capped barrel is cliiped with tarpaulin on ground
*Location(s):*
Admin MovePlayer 344658.25 128280.05 850.98 0 336.21 139.85 0.00
*Expected Results:*
The clipping issue should be fixed</v>
      </c>
      <c r="K109" s="15" t="s">
        <v>410</v>
      </c>
      <c r="L109" s="23" t="str">
        <f t="shared" ref="L109:L113" si="19">HYPERLINK(K109)</f>
        <v>https://jira.krafton.com/browse/PUBG-41719</v>
      </c>
    </row>
    <row r="110" spans="2:12" ht="89.25" hidden="1" x14ac:dyDescent="0.15">
      <c r="B110" s="24">
        <v>43886</v>
      </c>
      <c r="C110" s="15">
        <v>97</v>
      </c>
      <c r="D110" s="15" t="str">
        <f t="shared" si="15"/>
        <v>41720</v>
      </c>
      <c r="E110" s="15" t="str">
        <f t="shared" si="16"/>
        <v>DJ</v>
      </c>
      <c r="F110" s="15" t="s">
        <v>377</v>
      </c>
      <c r="G110" s="15" t="str">
        <f t="shared" si="17"/>
        <v>Tarpaulin is clipped with house pillar and wall</v>
      </c>
      <c r="H110" s="15" t="s">
        <v>378</v>
      </c>
      <c r="I110" s="15" t="s">
        <v>242</v>
      </c>
      <c r="J110" s="15" t="str">
        <f t="shared" si="18"/>
        <v>Tarpaulin is clipped with house pillar and wall
*Location(s):*
Admin MovePlayer 346404.13 129962.99 831.03 0 323.10 108.89 0.00
*Expected Results:*
The clipping issue should be fixed</v>
      </c>
      <c r="K110" s="15" t="s">
        <v>411</v>
      </c>
      <c r="L110" s="23" t="str">
        <f t="shared" si="19"/>
        <v>https://jira.krafton.com/browse/PUBG-41720</v>
      </c>
    </row>
    <row r="111" spans="2:12" ht="89.25" hidden="1" x14ac:dyDescent="0.15">
      <c r="B111" s="24">
        <v>43886</v>
      </c>
      <c r="C111" s="15">
        <v>98</v>
      </c>
      <c r="D111" s="15" t="str">
        <f t="shared" si="15"/>
        <v/>
      </c>
      <c r="E111" s="15" t="str">
        <f t="shared" si="16"/>
        <v>er</v>
      </c>
      <c r="F111" s="15" t="s">
        <v>389</v>
      </c>
      <c r="G111" s="15" t="str">
        <f t="shared" si="17"/>
        <v>90</v>
      </c>
      <c r="I111" s="15" t="s">
        <v>242</v>
      </c>
      <c r="J111" s="15" t="str">
        <f t="shared" si="18"/>
        <v>90
*Location(s):*
*Expected Results:*
The clipping issue should be fixed</v>
      </c>
      <c r="L111" s="23" t="str">
        <f t="shared" si="19"/>
        <v/>
      </c>
    </row>
    <row r="112" spans="2:12" ht="89.25" hidden="1" x14ac:dyDescent="0.15">
      <c r="B112" s="24">
        <v>43886</v>
      </c>
      <c r="C112" s="15">
        <v>99</v>
      </c>
      <c r="D112" s="15" t="str">
        <f t="shared" si="15"/>
        <v>41721</v>
      </c>
      <c r="E112" s="15" t="str">
        <f t="shared" si="16"/>
        <v>DJ</v>
      </c>
      <c r="F112" s="15" t="s">
        <v>380</v>
      </c>
      <c r="G112" s="15" t="str">
        <f t="shared" si="17"/>
        <v>Grass is clipped with empty pot</v>
      </c>
      <c r="H112" s="15" t="s">
        <v>379</v>
      </c>
      <c r="I112" s="15" t="s">
        <v>242</v>
      </c>
      <c r="J112" s="15" t="str">
        <f t="shared" si="18"/>
        <v>Grass is clipped with empty pot
*Location(s):*
Admin MovePlayer 348060.91 128849.42 902.10 0 325.50 304.01 0.00
*Expected Results:*
The clipping issue should be fixed</v>
      </c>
      <c r="K112" s="15" t="s">
        <v>412</v>
      </c>
      <c r="L112" s="23" t="str">
        <f t="shared" si="19"/>
        <v>https://jira.krafton.com/browse/PUBG-41721</v>
      </c>
    </row>
    <row r="113" spans="2:12" ht="89.25" hidden="1" x14ac:dyDescent="0.15">
      <c r="B113" s="24">
        <v>43886</v>
      </c>
      <c r="C113" s="15">
        <v>100</v>
      </c>
      <c r="D113" s="15" t="str">
        <f t="shared" si="15"/>
        <v/>
      </c>
      <c r="E113" s="15" t="str">
        <f t="shared" si="16"/>
        <v>er</v>
      </c>
      <c r="F113" s="15" t="s">
        <v>390</v>
      </c>
      <c r="G113" s="15" t="str">
        <f t="shared" si="17"/>
        <v>85</v>
      </c>
      <c r="I113" s="15" t="s">
        <v>246</v>
      </c>
      <c r="J113" s="15" t="str">
        <f t="shared" si="18"/>
        <v>85
*Location(s):*
*Expected Results:*
The item should have proper decals when shot at</v>
      </c>
      <c r="L113" s="23" t="str">
        <f t="shared" si="19"/>
        <v/>
      </c>
    </row>
    <row r="114" spans="2:12" ht="89.25" hidden="1" x14ac:dyDescent="0.15">
      <c r="B114" s="24">
        <v>43886</v>
      </c>
      <c r="C114" s="15">
        <v>101</v>
      </c>
      <c r="D114" s="25" t="str">
        <f t="shared" si="15"/>
        <v/>
      </c>
      <c r="E114" s="25" t="str">
        <f t="shared" ref="E114:E157" si="20">MID(F114,2,2)</f>
        <v>er</v>
      </c>
      <c r="F114" s="15" t="s">
        <v>388</v>
      </c>
      <c r="G114" s="15" t="str">
        <f t="shared" ref="G114:G157" si="21">RIGHT(F114,LEN(F114)-13)</f>
        <v>90</v>
      </c>
      <c r="I114" s="15" t="s">
        <v>242</v>
      </c>
      <c r="J114" s="15" t="str">
        <f t="shared" ref="J114:J157" si="22">CONCATENATE(G114,CHAR(10),CHAR(10),"*Location(s):*",CHAR(10),H114,CHAR(10),CHAR(10),"*Expected Results:*",CHAR(10),I114)</f>
        <v>90
*Location(s):*
*Expected Results:*
The clipping issue should be fixed</v>
      </c>
      <c r="L114" s="23" t="str">
        <f t="shared" ref="L114:L157" si="23">HYPERLINK(K114)</f>
        <v/>
      </c>
    </row>
    <row r="115" spans="2:12" ht="89.25" hidden="1" x14ac:dyDescent="0.15">
      <c r="B115" s="24">
        <v>43886</v>
      </c>
      <c r="C115" s="15">
        <v>102</v>
      </c>
      <c r="D115" s="25" t="str">
        <f t="shared" si="15"/>
        <v/>
      </c>
      <c r="E115" s="25" t="str">
        <f t="shared" si="20"/>
        <v>er</v>
      </c>
      <c r="F115" s="15" t="s">
        <v>384</v>
      </c>
      <c r="G115" s="15" t="str">
        <f t="shared" si="21"/>
        <v>88</v>
      </c>
      <c r="I115" s="15" t="s">
        <v>242</v>
      </c>
      <c r="J115" s="15" t="str">
        <f t="shared" si="22"/>
        <v>88
*Location(s):*
*Expected Results:*
The clipping issue should be fixed</v>
      </c>
      <c r="L115" s="23" t="str">
        <f t="shared" si="23"/>
        <v/>
      </c>
    </row>
    <row r="116" spans="2:12" ht="89.25" hidden="1" x14ac:dyDescent="0.15">
      <c r="B116" s="24">
        <v>43886</v>
      </c>
      <c r="C116" s="15">
        <v>103</v>
      </c>
      <c r="D116" s="25" t="str">
        <f t="shared" si="15"/>
        <v/>
      </c>
      <c r="E116" s="25" t="str">
        <f t="shared" si="20"/>
        <v>er</v>
      </c>
      <c r="F116" s="15" t="s">
        <v>388</v>
      </c>
      <c r="G116" s="15" t="str">
        <f t="shared" si="21"/>
        <v>90</v>
      </c>
      <c r="I116" s="15" t="s">
        <v>242</v>
      </c>
      <c r="J116" s="15" t="str">
        <f t="shared" si="22"/>
        <v>90
*Location(s):*
*Expected Results:*
The clipping issue should be fixed</v>
      </c>
      <c r="L116" s="23" t="str">
        <f t="shared" si="23"/>
        <v/>
      </c>
    </row>
    <row r="117" spans="2:12" ht="114.75" hidden="1" x14ac:dyDescent="0.15">
      <c r="B117" s="24">
        <v>43886</v>
      </c>
      <c r="C117" s="15">
        <v>104</v>
      </c>
      <c r="D117" s="25" t="str">
        <f t="shared" si="15"/>
        <v>41723</v>
      </c>
      <c r="E117" s="25" t="str">
        <f t="shared" si="20"/>
        <v>DJ</v>
      </c>
      <c r="F117" s="15" t="s">
        <v>381</v>
      </c>
      <c r="G117" s="15" t="s">
        <v>382</v>
      </c>
      <c r="H117" s="15" t="s">
        <v>383</v>
      </c>
      <c r="I117" s="15" t="s">
        <v>242</v>
      </c>
      <c r="J117" s="15" t="str">
        <f t="shared" si="22"/>
        <v>Barrel is clipped with grass and one side seems does not touch the ground
*Location(s):*
Admin MovePlayer 377566.31 146498.17 267.50 0 314.50 198.71 0.00
Admin MovePlayer 377571.56 146480.67 220.50 0 344.15 185.66 0.00
*Expected Results:*
The clipping issue should be fixed</v>
      </c>
      <c r="K117" s="15" t="s">
        <v>413</v>
      </c>
      <c r="L117" s="23" t="str">
        <f t="shared" si="23"/>
        <v>https://jira.krafton.com/browse/PUBG-41723</v>
      </c>
    </row>
    <row r="118" spans="2:12" ht="306" hidden="1" x14ac:dyDescent="0.15">
      <c r="B118" s="24">
        <v>43887</v>
      </c>
      <c r="C118" s="15">
        <v>105</v>
      </c>
      <c r="D118" s="25" t="str">
        <f t="shared" si="15"/>
        <v>41916</v>
      </c>
      <c r="E118" s="25" t="str">
        <f t="shared" si="20"/>
        <v>DJ</v>
      </c>
      <c r="F118" s="15" t="s">
        <v>417</v>
      </c>
      <c r="G118" s="15" t="str">
        <f t="shared" si="21"/>
        <v>Grass is clipped with wood beams on the ground</v>
      </c>
      <c r="H118" s="15" t="s">
        <v>470</v>
      </c>
      <c r="I118" s="15" t="s">
        <v>242</v>
      </c>
      <c r="J118" s="15" t="str">
        <f t="shared" si="22"/>
        <v>Grass is clipped with wood beams on the ground
*Location(s):*
Admin MovePlayer 372533.59 175793.06 446.40 0 325.66 94.04 0.00
Admin MovePlayer 375406.66 176309.25 443.04 0 323.61 104.58 0.00
Admin MovePlayer 373605.44 162121.92 316.12 0 297.10 73.99 0.00
Admin MovePlayer 373560.72 163961.31 320.93 0 309.53 50.08 0.00
Admin MovePlayer 377594.50 146275.81 267.50 0 313.21 269.43 0.00
Admin MovePlayer 349741.94 176745.50 866.48 0 320.90 182.39 0.00
Admin MovePlayer 313007.03 151210.86 1383.43 0 314.04 228.68 0.00
Admin MovePlayer 312472.28 138559.92 1134.00 0 315.99 350.36 0.00 (wood beam also clips with house)
*Expected Results:*
The clipping issue should be fixed</v>
      </c>
      <c r="K118" s="15" t="s">
        <v>484</v>
      </c>
      <c r="L118" s="23" t="str">
        <f t="shared" si="23"/>
        <v>https://jira.krafton.com/browse/PUBG-41916</v>
      </c>
    </row>
    <row r="119" spans="2:12" ht="140.25" hidden="1" x14ac:dyDescent="0.15">
      <c r="B119" s="24">
        <v>43887</v>
      </c>
      <c r="C119" s="15">
        <v>106</v>
      </c>
      <c r="D119" s="25" t="str">
        <f t="shared" si="15"/>
        <v>41917</v>
      </c>
      <c r="E119" s="25" t="str">
        <f t="shared" si="20"/>
        <v>DJ</v>
      </c>
      <c r="F119" s="15" t="s">
        <v>416</v>
      </c>
      <c r="G119" s="15" t="str">
        <f t="shared" si="21"/>
        <v>Plant is clipped into the ground</v>
      </c>
      <c r="H119" s="15" t="s">
        <v>431</v>
      </c>
      <c r="I119" s="15" t="s">
        <v>242</v>
      </c>
      <c r="J119" s="15" t="str">
        <f t="shared" si="22"/>
        <v>Plant is clipped into the ground
*Location(s):*
Admin MovePlayer 372619.16 175143.91 446.37 0 341.44 160.96 0.00
Admin MovePlayer 374241.28 178779.31 446.38 0 328.86 172.83 0.00
Admin MovePlayer 373435.03 175680.20 446.40 0 333.09 81.54 0.00
*Expected Results:*
The clipping issue should be fixed</v>
      </c>
      <c r="K119" s="15" t="s">
        <v>485</v>
      </c>
      <c r="L119" s="23" t="str">
        <f t="shared" si="23"/>
        <v>https://jira.krafton.com/browse/PUBG-41917</v>
      </c>
    </row>
    <row r="120" spans="2:12" ht="114.75" hidden="1" x14ac:dyDescent="0.15">
      <c r="B120" s="24">
        <v>43887</v>
      </c>
      <c r="C120" s="15">
        <v>107</v>
      </c>
      <c r="D120" s="25" t="str">
        <f t="shared" si="15"/>
        <v>41918</v>
      </c>
      <c r="E120" s="25" t="str">
        <f t="shared" si="20"/>
        <v>DJ</v>
      </c>
      <c r="F120" s="15" t="s">
        <v>418</v>
      </c>
      <c r="G120" s="15" t="str">
        <f t="shared" si="21"/>
        <v>Grass is clipped with wasted truck</v>
      </c>
      <c r="H120" s="15" t="s">
        <v>427</v>
      </c>
      <c r="I120" s="15" t="s">
        <v>242</v>
      </c>
      <c r="J120" s="15" t="str">
        <f t="shared" si="22"/>
        <v>Grass is clipped with wasted truck
*Location(s):*
Admin MovePlayer 371915.13 175754.13 446.40 0 328.29 355.44 0.00
Admin MovePlayer 374810.72 179083.33 443.12 0 334.27 150.16 0.00
*Expected Results:*
The clipping issue should be fixed</v>
      </c>
      <c r="K120" s="15" t="s">
        <v>486</v>
      </c>
      <c r="L120" s="23" t="str">
        <f t="shared" si="23"/>
        <v>https://jira.krafton.com/browse/PUBG-41918</v>
      </c>
    </row>
    <row r="121" spans="2:12" ht="204" hidden="1" x14ac:dyDescent="0.15">
      <c r="B121" s="24">
        <v>43887</v>
      </c>
      <c r="C121" s="15">
        <v>108</v>
      </c>
      <c r="D121" s="25" t="str">
        <f t="shared" si="15"/>
        <v>41919</v>
      </c>
      <c r="E121" s="25" t="str">
        <f t="shared" si="20"/>
        <v>DJ</v>
      </c>
      <c r="F121" s="15" t="s">
        <v>419</v>
      </c>
      <c r="G121" s="15" t="str">
        <f t="shared" si="21"/>
        <v>Tarp is clipped with wood beam on the ground</v>
      </c>
      <c r="H121" s="15" t="s">
        <v>471</v>
      </c>
      <c r="I121" s="15" t="s">
        <v>242</v>
      </c>
      <c r="J121" s="15" t="str">
        <f t="shared" si="22"/>
        <v>Tarp is clipped with wood beam on the ground
*Location(s):*
Admin MovePlayer 371895.38 177400.88 446.40 0 327.05 308.42 0.00
Admin MovePlayer 374042.31 161383.81 313.10 0 328.57 80.75 0.00
Admin MovePlayer 352650.00 175063.55 783.12 0 330.63 285.31 0.00
Admin MovePlayer 349103.38 172688.70 657.64 0 333.08 49.47 0.00 (also clip with grass)
Admin MovePlayer 318118.56 123133.30 1048.64 0 316.34 226.16 0.00
*Expected Results:*
The clipping issue should be fixed</v>
      </c>
      <c r="K121" s="15" t="s">
        <v>487</v>
      </c>
      <c r="L121" s="23" t="str">
        <f t="shared" si="23"/>
        <v>https://jira.krafton.com/browse/PUBG-41919</v>
      </c>
    </row>
    <row r="122" spans="2:12" ht="89.25" hidden="1" x14ac:dyDescent="0.15">
      <c r="B122" s="24">
        <v>43887</v>
      </c>
      <c r="C122" s="15">
        <v>109</v>
      </c>
      <c r="D122" s="25" t="str">
        <f t="shared" si="15"/>
        <v>41921</v>
      </c>
      <c r="E122" s="25" t="str">
        <f t="shared" si="20"/>
        <v>DJ</v>
      </c>
      <c r="F122" s="15" t="s">
        <v>421</v>
      </c>
      <c r="G122" s="15" t="str">
        <f t="shared" si="21"/>
        <v>Bicycle is clipped with ground and house</v>
      </c>
      <c r="H122" s="15" t="s">
        <v>420</v>
      </c>
      <c r="I122" s="15" t="s">
        <v>242</v>
      </c>
      <c r="J122" s="15" t="str">
        <f t="shared" si="22"/>
        <v>Bicycle is clipped with ground and house
*Location(s):*
Admin MovePlayer 371614.75 177028.45 446.40 0 313.05 234.89 0.00
*Expected Results:*
The clipping issue should be fixed</v>
      </c>
      <c r="K122" s="15" t="s">
        <v>488</v>
      </c>
      <c r="L122" s="23" t="str">
        <f t="shared" si="23"/>
        <v>https://jira.krafton.com/browse/PUBG-41921</v>
      </c>
    </row>
    <row r="123" spans="2:12" ht="165.75" hidden="1" x14ac:dyDescent="0.15">
      <c r="B123" s="24">
        <v>43887</v>
      </c>
      <c r="C123" s="15">
        <v>110</v>
      </c>
      <c r="D123" s="25" t="str">
        <f t="shared" si="15"/>
        <v>41922</v>
      </c>
      <c r="E123" s="25" t="str">
        <f t="shared" si="20"/>
        <v>DJ</v>
      </c>
      <c r="F123" s="15" t="s">
        <v>422</v>
      </c>
      <c r="G123" s="15" t="str">
        <f t="shared" si="21"/>
        <v>Tarp is clipped with grass on the ground</v>
      </c>
      <c r="H123" s="15" t="s">
        <v>469</v>
      </c>
      <c r="I123" s="15" t="s">
        <v>242</v>
      </c>
      <c r="J123" s="15" t="str">
        <f t="shared" si="22"/>
        <v>Tarp is clipped with grass on the ground
*Location(s):*
Admin MovePlayer 369715.47 176846.70 445.99 0 322.75 291.13 0.00
Admin MovePlayer 374013.47 161456.09 313.46 0 328.90 60.77 0.00
Admin MovePlayer 379722.91 146316.75 267.50 0 325.90 91.09 0.00
Admin MovePlayer 312976.44 137075.44 1154.49 0 318.50 14.84 0.00
*Expected Results:*
The clipping issue should be fixed</v>
      </c>
      <c r="K123" s="15" t="s">
        <v>489</v>
      </c>
      <c r="L123" s="23" t="str">
        <f t="shared" si="23"/>
        <v>https://jira.krafton.com/browse/PUBG-41922</v>
      </c>
    </row>
    <row r="124" spans="2:12" ht="89.25" hidden="1" x14ac:dyDescent="0.15">
      <c r="B124" s="24">
        <v>43887</v>
      </c>
      <c r="C124" s="15">
        <v>111</v>
      </c>
      <c r="D124" s="25" t="str">
        <f t="shared" si="15"/>
        <v>41923</v>
      </c>
      <c r="E124" s="25" t="str">
        <f t="shared" si="20"/>
        <v>DJ</v>
      </c>
      <c r="F124" s="15" t="s">
        <v>259</v>
      </c>
      <c r="G124" s="15" t="str">
        <f t="shared" si="21"/>
        <v>Grass is clipped with rocks</v>
      </c>
      <c r="H124" s="15" t="s">
        <v>423</v>
      </c>
      <c r="I124" s="15" t="s">
        <v>242</v>
      </c>
      <c r="J124" s="15" t="str">
        <f t="shared" si="22"/>
        <v>Grass is clipped with rocks
*Location(s):*
Admin MovePlayer 371654.91 173775.44 446.33 0 321.95 331.70 0.00
*Expected Results:*
The clipping issue should be fixed</v>
      </c>
      <c r="K124" s="15" t="s">
        <v>490</v>
      </c>
      <c r="L124" s="23" t="str">
        <f t="shared" si="23"/>
        <v>https://jira.krafton.com/browse/PUBG-41923</v>
      </c>
    </row>
    <row r="125" spans="2:12" ht="89.25" hidden="1" x14ac:dyDescent="0.15">
      <c r="B125" s="24">
        <v>43887</v>
      </c>
      <c r="C125" s="15">
        <v>112</v>
      </c>
      <c r="D125" s="25" t="str">
        <f t="shared" si="15"/>
        <v>41924</v>
      </c>
      <c r="E125" s="25" t="str">
        <f t="shared" si="20"/>
        <v>DJ</v>
      </c>
      <c r="F125" s="15" t="s">
        <v>425</v>
      </c>
      <c r="G125" s="15" t="str">
        <f t="shared" si="21"/>
        <v>Grass is clipped with house beam</v>
      </c>
      <c r="H125" s="15" t="s">
        <v>424</v>
      </c>
      <c r="I125" s="15" t="s">
        <v>242</v>
      </c>
      <c r="J125" s="15" t="str">
        <f t="shared" si="22"/>
        <v>Grass is clipped with house beam
*Location(s):*
Admin MovePlayer 373523.06 172596.03 445.70 0 332.46 143.52 0.00
*Expected Results:*
The clipping issue should be fixed</v>
      </c>
      <c r="K125" s="15" t="s">
        <v>491</v>
      </c>
      <c r="L125" s="23" t="str">
        <f t="shared" si="23"/>
        <v>https://jira.krafton.com/browse/PUBG-41924</v>
      </c>
    </row>
    <row r="126" spans="2:12" ht="114.75" hidden="1" x14ac:dyDescent="0.15">
      <c r="B126" s="24">
        <v>43887</v>
      </c>
      <c r="C126" s="15">
        <v>113</v>
      </c>
      <c r="D126" s="25" t="str">
        <f t="shared" si="15"/>
        <v>41925</v>
      </c>
      <c r="E126" s="25" t="str">
        <f t="shared" si="20"/>
        <v>DJ</v>
      </c>
      <c r="F126" s="15" t="s">
        <v>365</v>
      </c>
      <c r="G126" s="29" t="s">
        <v>426</v>
      </c>
      <c r="H126" s="15" t="s">
        <v>463</v>
      </c>
      <c r="I126" s="15" t="s">
        <v>368</v>
      </c>
      <c r="J126" s="15" t="str">
        <f t="shared" si="22"/>
        <v>Stair handrail is too long that the pillar connects with ground
*Location(s):*
Admin MovePlayer 373750.50 174460.14 445.91 0 341.20 321.75 0.00
Admin MovePlayer 318867.25 168989.14 2942.30 0 344.36 349.63 0.00
*Expected Results:*
The handrail should be shortened and the last pillar removed on each side.</v>
      </c>
      <c r="K126" s="15" t="s">
        <v>492</v>
      </c>
      <c r="L126" s="23" t="str">
        <f t="shared" si="23"/>
        <v>https://jira.krafton.com/browse/PUBG-41925</v>
      </c>
    </row>
    <row r="127" spans="2:12" ht="89.25" hidden="1" x14ac:dyDescent="0.15">
      <c r="B127" s="24">
        <v>43887</v>
      </c>
      <c r="C127" s="15">
        <v>114</v>
      </c>
      <c r="D127" s="25" t="str">
        <f t="shared" si="15"/>
        <v>41927</v>
      </c>
      <c r="E127" s="25" t="str">
        <f t="shared" si="20"/>
        <v>DJ</v>
      </c>
      <c r="F127" s="15" t="s">
        <v>429</v>
      </c>
      <c r="G127" s="15" t="str">
        <f t="shared" si="21"/>
        <v>Grass is clipped with pre-placed Scooter</v>
      </c>
      <c r="H127" s="15" t="s">
        <v>428</v>
      </c>
      <c r="I127" s="15" t="s">
        <v>242</v>
      </c>
      <c r="J127" s="15" t="str">
        <f t="shared" si="22"/>
        <v>Grass is clipped with pre-placed Scooter
*Location(s):*
Admin MovePlayer 369664.84 172751.69 557.39 0 317.05 146.84 0.00
*Expected Results:*
The clipping issue should be fixed</v>
      </c>
      <c r="K127" s="15" t="s">
        <v>493</v>
      </c>
      <c r="L127" s="23" t="str">
        <f t="shared" si="23"/>
        <v>https://jira.krafton.com/browse/PUBG-41927</v>
      </c>
    </row>
    <row r="128" spans="2:12" ht="369.75" hidden="1" x14ac:dyDescent="0.15">
      <c r="B128" s="24">
        <v>43887</v>
      </c>
      <c r="C128" s="15">
        <v>115</v>
      </c>
      <c r="D128" s="25" t="str">
        <f t="shared" si="15"/>
        <v>41928</v>
      </c>
      <c r="E128" s="25" t="str">
        <f t="shared" si="20"/>
        <v>DJ</v>
      </c>
      <c r="F128" s="15" t="s">
        <v>430</v>
      </c>
      <c r="G128" s="15" t="str">
        <f t="shared" si="21"/>
        <v>Grass is clipped with stair steps</v>
      </c>
      <c r="H128" s="15" t="s">
        <v>464</v>
      </c>
      <c r="I128" s="15" t="s">
        <v>242</v>
      </c>
      <c r="J128" s="15" t="str">
        <f t="shared" si="22"/>
        <v>Grass is clipped with stair steps
*Location(s):*
Admin MovePlayer 370316.25 179157.94 446.27 0 310.00 327.72 0.00
Admin MovePlayer 376343.56 164477.14 309.01 0 318.85 281.75 0.00
Admin MovePlayer 366461.44 147539.02 320.28 0 326.11 196.52 0.00
Admin MovePlayer 349368.50 196754.63 1853.93 0 337.25 230.78 0.00
Admin MovePlayer 361971.75 190968.20 2045.43 0 351.42 317.58 0.00
Admin MovePlayer 351059.50 179973.31 1076.64 0 311.24 50.92 0.00
Admin MovePlayer 354671.44 176828.67 779.50 0 314.80 239.52 0.00
Admin MovePlayer 365380.84 132281.19 491.77 0 310.64 114.51 0.00
Admin MovePlayer 319165.16 168720.91 2954.56 0 315.03 57.06 0.00
Admin MovePlayer 313431.84 153582.72 1378.43 0 327.51 346.82 0.00
*Expected Results:*
The clipping issue should be fixed</v>
      </c>
      <c r="K128" s="15" t="s">
        <v>494</v>
      </c>
      <c r="L128" s="23" t="str">
        <f t="shared" si="23"/>
        <v>https://jira.krafton.com/browse/PUBG-41928</v>
      </c>
    </row>
    <row r="129" spans="2:12" ht="114.75" hidden="1" x14ac:dyDescent="0.15">
      <c r="B129" s="24">
        <v>43887</v>
      </c>
      <c r="C129" s="15">
        <v>116</v>
      </c>
      <c r="D129" s="25" t="str">
        <f t="shared" si="15"/>
        <v>41929</v>
      </c>
      <c r="E129" s="25" t="str">
        <f t="shared" si="20"/>
        <v>DJ</v>
      </c>
      <c r="F129" s="15" t="s">
        <v>432</v>
      </c>
      <c r="G129" s="15" t="str">
        <f t="shared" si="21"/>
        <v>2 wood beams are clipped with each other</v>
      </c>
      <c r="H129" s="15" t="s">
        <v>472</v>
      </c>
      <c r="I129" s="15" t="s">
        <v>242</v>
      </c>
      <c r="J129" s="15" t="str">
        <f t="shared" si="22"/>
        <v>2 wood beams are clipped with each other
*Location(s):*
Admin MovePlayer 373879.72 175566.89 446.19 0 317.76 0.44 0.00
Admin MovePlayer 318432.25 122414.56 1015.54 0 325.53 30.36 0.00
*Expected Results:*
The clipping issue should be fixed</v>
      </c>
      <c r="K129" s="15" t="s">
        <v>495</v>
      </c>
      <c r="L129" s="23" t="str">
        <f t="shared" si="23"/>
        <v>https://jira.krafton.com/browse/PUBG-41929</v>
      </c>
    </row>
    <row r="130" spans="2:12" ht="89.25" hidden="1" x14ac:dyDescent="0.15">
      <c r="B130" s="24">
        <v>43887</v>
      </c>
      <c r="C130" s="15">
        <v>117</v>
      </c>
      <c r="D130" s="25" t="str">
        <f t="shared" ref="D130:D163" si="24">RIGHT(K130,5)</f>
        <v>41930</v>
      </c>
      <c r="E130" s="25" t="str">
        <f t="shared" si="20"/>
        <v>DJ</v>
      </c>
      <c r="F130" s="15" t="s">
        <v>434</v>
      </c>
      <c r="G130" s="15" t="str">
        <f t="shared" si="21"/>
        <v>LOD issue occurs on wasted truck's windshield</v>
      </c>
      <c r="H130" s="15" t="s">
        <v>433</v>
      </c>
      <c r="I130" s="15" t="s">
        <v>242</v>
      </c>
      <c r="J130" s="15" t="str">
        <f t="shared" si="22"/>
        <v>LOD issue occurs on wasted truck's windshield
*Location(s):*
Admin MovePlayer 374512.38 173113.23 446.22 0 357.57 137.18 0.00
*Expected Results:*
The clipping issue should be fixed</v>
      </c>
      <c r="K130" s="15" t="s">
        <v>496</v>
      </c>
      <c r="L130" s="23" t="str">
        <f t="shared" si="23"/>
        <v>https://jira.krafton.com/browse/PUBG-41930</v>
      </c>
    </row>
    <row r="131" spans="2:12" ht="89.25" hidden="1" x14ac:dyDescent="0.15">
      <c r="B131" s="24">
        <v>43887</v>
      </c>
      <c r="C131" s="15">
        <v>118</v>
      </c>
      <c r="D131" s="25" t="str">
        <f t="shared" si="24"/>
        <v>41931</v>
      </c>
      <c r="E131" s="25" t="str">
        <f t="shared" si="20"/>
        <v>DJ</v>
      </c>
      <c r="F131" s="15" t="s">
        <v>436</v>
      </c>
      <c r="G131" s="15" t="str">
        <f t="shared" si="21"/>
        <v>Grass is clipped with empty pot</v>
      </c>
      <c r="H131" s="15" t="s">
        <v>435</v>
      </c>
      <c r="I131" s="15" t="s">
        <v>242</v>
      </c>
      <c r="J131" s="15" t="str">
        <f t="shared" si="22"/>
        <v>Grass is clipped with empty pot
*Location(s):*
Admin MovePlayer 371309.16 177944.89 588.07 0 301.21 130.73 0.00
*Expected Results:*
The clipping issue should be fixed</v>
      </c>
      <c r="K131" s="15" t="s">
        <v>497</v>
      </c>
      <c r="L131" s="23" t="str">
        <f t="shared" si="23"/>
        <v>https://jira.krafton.com/browse/PUBG-41931</v>
      </c>
    </row>
    <row r="132" spans="2:12" ht="89.25" hidden="1" x14ac:dyDescent="0.15">
      <c r="B132" s="24">
        <v>43887</v>
      </c>
      <c r="C132" s="15">
        <v>119</v>
      </c>
      <c r="D132" s="25" t="str">
        <f t="shared" si="24"/>
        <v>41932</v>
      </c>
      <c r="E132" s="25" t="str">
        <f t="shared" si="20"/>
        <v>DJ</v>
      </c>
      <c r="F132" s="15" t="s">
        <v>438</v>
      </c>
      <c r="G132" s="15" t="str">
        <f t="shared" si="21"/>
        <v>Grass is clipped with basket drawer on the ground</v>
      </c>
      <c r="H132" s="15" t="s">
        <v>437</v>
      </c>
      <c r="I132" s="15" t="s">
        <v>242</v>
      </c>
      <c r="J132" s="15" t="str">
        <f t="shared" si="22"/>
        <v>Grass is clipped with basket drawer on the ground
*Location(s):*
Admin MovePlayer 375964.19 164215.75 310.29 0 306.16 177.37 0.00
*Expected Results:*
The clipping issue should be fixed</v>
      </c>
      <c r="K132" s="15" t="s">
        <v>498</v>
      </c>
      <c r="L132" s="23" t="str">
        <f t="shared" si="23"/>
        <v>https://jira.krafton.com/browse/PUBG-41932</v>
      </c>
    </row>
    <row r="133" spans="2:12" ht="89.25" hidden="1" x14ac:dyDescent="0.15">
      <c r="B133" s="24">
        <v>43887</v>
      </c>
      <c r="C133" s="15">
        <v>120</v>
      </c>
      <c r="D133" s="25" t="str">
        <f t="shared" si="24"/>
        <v>41933</v>
      </c>
      <c r="E133" s="25" t="str">
        <f t="shared" si="20"/>
        <v>DJ</v>
      </c>
      <c r="F133" s="15" t="s">
        <v>440</v>
      </c>
      <c r="G133" s="15" t="str">
        <f t="shared" si="21"/>
        <v>Bicycle is clipped with tree</v>
      </c>
      <c r="H133" s="15" t="s">
        <v>439</v>
      </c>
      <c r="I133" s="15" t="s">
        <v>242</v>
      </c>
      <c r="J133" s="15" t="str">
        <f t="shared" si="22"/>
        <v>Bicycle is clipped with tree
*Location(s):*
Admin MovePlayer 378799.63 148382.97 267.49 0 313.67 96.30 0.00
*Expected Results:*
The clipping issue should be fixed</v>
      </c>
      <c r="K133" s="15" t="s">
        <v>499</v>
      </c>
      <c r="L133" s="23" t="str">
        <f t="shared" si="23"/>
        <v>https://jira.krafton.com/browse/PUBG-41933</v>
      </c>
    </row>
    <row r="134" spans="2:12" ht="89.25" hidden="1" x14ac:dyDescent="0.15">
      <c r="B134" s="24">
        <v>43887</v>
      </c>
      <c r="C134" s="15">
        <v>121</v>
      </c>
      <c r="D134" s="25" t="str">
        <f t="shared" si="24"/>
        <v>41934</v>
      </c>
      <c r="E134" s="25" t="str">
        <f t="shared" si="20"/>
        <v>DJ</v>
      </c>
      <c r="F134" s="15" t="s">
        <v>442</v>
      </c>
      <c r="G134" s="15" t="str">
        <f t="shared" si="21"/>
        <v>Tarp is clipped with barrel</v>
      </c>
      <c r="H134" s="15" t="s">
        <v>441</v>
      </c>
      <c r="I134" s="15" t="s">
        <v>242</v>
      </c>
      <c r="J134" s="15" t="str">
        <f t="shared" si="22"/>
        <v>Tarp is clipped with barrel
*Location(s):*
Admin MovePlayer 379472.56 148663.00 267.49 0 331.69 57.88 0.00
*Expected Results:*
The clipping issue should be fixed</v>
      </c>
      <c r="K134" s="15" t="s">
        <v>500</v>
      </c>
      <c r="L134" s="23" t="str">
        <f t="shared" si="23"/>
        <v>https://jira.krafton.com/browse/PUBG-41934</v>
      </c>
    </row>
    <row r="135" spans="2:12" ht="89.25" hidden="1" x14ac:dyDescent="0.15">
      <c r="B135" s="24">
        <v>43887</v>
      </c>
      <c r="C135" s="15">
        <v>122</v>
      </c>
      <c r="D135" s="25" t="str">
        <f t="shared" si="24"/>
        <v>41935</v>
      </c>
      <c r="E135" s="25" t="str">
        <f t="shared" si="20"/>
        <v>DJ</v>
      </c>
      <c r="F135" s="15" t="s">
        <v>444</v>
      </c>
      <c r="G135" s="15" t="str">
        <f t="shared" si="21"/>
        <v>Gabage bag is clipped with a chair</v>
      </c>
      <c r="H135" s="15" t="s">
        <v>443</v>
      </c>
      <c r="I135" s="15" t="s">
        <v>242</v>
      </c>
      <c r="J135" s="15" t="str">
        <f t="shared" si="22"/>
        <v>Gabage bag is clipped with a chair
*Location(s):*
Admin MovePlayer 379431.59 146524.73 267.50 0 337.28 89.41 0.00
*Expected Results:*
The clipping issue should be fixed</v>
      </c>
      <c r="K135" s="15" t="s">
        <v>501</v>
      </c>
      <c r="L135" s="23" t="str">
        <f t="shared" si="23"/>
        <v>https://jira.krafton.com/browse/PUBG-41935</v>
      </c>
    </row>
    <row r="136" spans="2:12" ht="140.25" hidden="1" x14ac:dyDescent="0.15">
      <c r="B136" s="24">
        <v>43887</v>
      </c>
      <c r="C136" s="15">
        <v>123</v>
      </c>
      <c r="D136" s="25" t="str">
        <f t="shared" si="24"/>
        <v>41936</v>
      </c>
      <c r="E136" s="25" t="str">
        <f t="shared" si="20"/>
        <v>DJ</v>
      </c>
      <c r="F136" s="15" t="s">
        <v>445</v>
      </c>
      <c r="G136" s="15" t="str">
        <f t="shared" si="21"/>
        <v>Grass is clipped with rocks</v>
      </c>
      <c r="H136" s="15" t="s">
        <v>448</v>
      </c>
      <c r="I136" s="15" t="s">
        <v>242</v>
      </c>
      <c r="J136" s="15" t="str">
        <f t="shared" si="22"/>
        <v>Grass is clipped with rocks
*Location(s):*
Admin MovePlayer 381845.56 150746.94 228.68 0 343.13 32.09 0.00
Admin MovePlayer 383026.53 151537.19 843.58 0 304.96 336.63 0.00
Admin MovePlayer 384606.25 177458.95 668.04 0 306.30 255.23 0.00
*Expected Results:*
The clipping issue should be fixed</v>
      </c>
      <c r="K136" s="15" t="s">
        <v>502</v>
      </c>
      <c r="L136" s="23" t="str">
        <f t="shared" si="23"/>
        <v>https://jira.krafton.com/browse/PUBG-41936</v>
      </c>
    </row>
    <row r="137" spans="2:12" ht="89.25" hidden="1" x14ac:dyDescent="0.15">
      <c r="B137" s="24">
        <v>43887</v>
      </c>
      <c r="C137" s="15">
        <v>124</v>
      </c>
      <c r="D137" s="25" t="str">
        <f t="shared" si="24"/>
        <v>41937</v>
      </c>
      <c r="E137" s="25" t="str">
        <f t="shared" si="20"/>
        <v>DJ</v>
      </c>
      <c r="F137" s="15" t="s">
        <v>447</v>
      </c>
      <c r="G137" s="15" t="str">
        <f t="shared" si="21"/>
        <v>Rock texture is of low resolution and looks corrupted</v>
      </c>
      <c r="H137" s="15" t="s">
        <v>446</v>
      </c>
      <c r="I137" s="15" t="s">
        <v>242</v>
      </c>
      <c r="J137" s="15" t="str">
        <f t="shared" si="22"/>
        <v>Rock texture is of low resolution and looks corrupted
*Location(s):*
Admin MovePlayer 382679.97 151592.13 794.79 0 312.11 308.32 0.00
*Expected Results:*
The clipping issue should be fixed</v>
      </c>
      <c r="K137" s="15" t="s">
        <v>503</v>
      </c>
      <c r="L137" s="23" t="str">
        <f t="shared" si="23"/>
        <v>https://jira.krafton.com/browse/PUBG-41937</v>
      </c>
    </row>
    <row r="138" spans="2:12" ht="114.75" hidden="1" x14ac:dyDescent="0.15">
      <c r="B138" s="24">
        <v>43887</v>
      </c>
      <c r="C138" s="15">
        <v>125</v>
      </c>
      <c r="D138" s="25" t="str">
        <f t="shared" si="24"/>
        <v>41938</v>
      </c>
      <c r="E138" s="25" t="str">
        <f t="shared" si="20"/>
        <v>DJ</v>
      </c>
      <c r="F138" s="15" t="s">
        <v>291</v>
      </c>
      <c r="G138" s="15" t="str">
        <f t="shared" si="21"/>
        <v>Barrels are clipped with walls</v>
      </c>
      <c r="H138" s="15" t="s">
        <v>473</v>
      </c>
      <c r="I138" s="15" t="s">
        <v>242</v>
      </c>
      <c r="J138" s="15" t="str">
        <f t="shared" si="22"/>
        <v>Barrels are clipped with walls
*Location(s):*
Admin MovePlayer 347409.13 178444.86 1190.93 0 341.09 225.13 0.00
Admin MovePlayer 319904.22 119525.22 1256.19 0 295.75 172.03 0.00
*Expected Results:*
The clipping issue should be fixed</v>
      </c>
      <c r="K138" s="15" t="s">
        <v>504</v>
      </c>
      <c r="L138" s="23" t="str">
        <f t="shared" si="23"/>
        <v>https://jira.krafton.com/browse/PUBG-41938</v>
      </c>
    </row>
    <row r="139" spans="2:12" ht="408" hidden="1" x14ac:dyDescent="0.15">
      <c r="B139" s="24">
        <v>43887</v>
      </c>
      <c r="C139" s="15">
        <v>126</v>
      </c>
      <c r="D139" s="25" t="str">
        <f t="shared" si="24"/>
        <v>41939</v>
      </c>
      <c r="E139" s="25" t="str">
        <f t="shared" si="20"/>
        <v>DJ</v>
      </c>
      <c r="F139" s="15" t="s">
        <v>450</v>
      </c>
      <c r="G139" s="15" t="str">
        <f t="shared" si="21"/>
        <v>Grass is clipped with wall surrounding an area of buildings south to Camp Bravo</v>
      </c>
      <c r="H139" s="15" t="s">
        <v>451</v>
      </c>
      <c r="I139" s="15" t="s">
        <v>242</v>
      </c>
      <c r="J139" s="15" t="str">
        <f t="shared" si="22"/>
        <v>Grass is clipped with wall surrounding an area of buildings south to Camp Bravo
*Location(s):*
Admin MovePlayer 347824.69 178815.94 1190.93 0 332.73 167.68 0.00
Admin MovePlayer 348075.81 179112.72 1190.94 0 328.52 144.75 0.00
Admin MovePlayer 349099.69 180428.88 1190.93 0 326.72 141.37 0.00
Admin MovePlayer 353275.91 181423.63 957.98 0 328.41 112.24 0.00
Admin MovePlayer 354380.66 178430.47 888.68 0 317.79 101.49 0.00
Admin MovePlayer 354029.06 178911.59 871.36 0 318.62 288.08 0.00
Admin MovePlayer 354852.06 175724.30 749.92 0 324.28 328.06 0.00
Admin MovePlayer 355293.97 175807.69 774.27 0 324.71 204.18 0.00
Admin MovePlayer 351466.09 171711.83 574.32 0 333.64 188.76 0.00
Admin MovePlayer 349660.94 170840.50 574.53 0 323.17 59.52 0.00
more spots along the wall in the area as shown in attached map
*Expected Results:*
The clipping issue should be fixed</v>
      </c>
      <c r="K139" s="15" t="s">
        <v>505</v>
      </c>
      <c r="L139" s="23" t="str">
        <f t="shared" si="23"/>
        <v>https://jira.krafton.com/browse/PUBG-41939</v>
      </c>
    </row>
    <row r="140" spans="2:12" ht="114.75" hidden="1" x14ac:dyDescent="0.15">
      <c r="B140" s="24">
        <v>43887</v>
      </c>
      <c r="C140" s="15">
        <v>127</v>
      </c>
      <c r="D140" s="25" t="str">
        <f t="shared" si="24"/>
        <v>41940</v>
      </c>
      <c r="E140" s="25" t="str">
        <f t="shared" si="20"/>
        <v>DJ</v>
      </c>
      <c r="F140" s="15" t="s">
        <v>449</v>
      </c>
      <c r="G140" s="15" t="str">
        <f t="shared" si="21"/>
        <v>Grass is clipped with wood racks</v>
      </c>
      <c r="H140" s="15" t="s">
        <v>460</v>
      </c>
      <c r="I140" s="15" t="s">
        <v>242</v>
      </c>
      <c r="J140" s="15" t="str">
        <f t="shared" si="22"/>
        <v>Grass is clipped with wood racks
*Location(s):*
Admin MovePlayer 352807.56 181750.31 1019.19 0 315.11 73.90 0.00
Admin MovePlayer 368346.38 132311.39 499.03 0 313.14 211.04 0.00
*Expected Results:*
The clipping issue should be fixed</v>
      </c>
      <c r="K140" s="15" t="s">
        <v>506</v>
      </c>
      <c r="L140" s="23" t="str">
        <f t="shared" si="23"/>
        <v>https://jira.krafton.com/browse/PUBG-41940</v>
      </c>
    </row>
    <row r="141" spans="2:12" ht="89.25" hidden="1" x14ac:dyDescent="0.15">
      <c r="B141" s="24">
        <v>43887</v>
      </c>
      <c r="C141" s="15">
        <v>128</v>
      </c>
      <c r="D141" s="25" t="str">
        <f t="shared" si="24"/>
        <v>41941</v>
      </c>
      <c r="E141" s="25" t="str">
        <f t="shared" si="20"/>
        <v>DJ</v>
      </c>
      <c r="F141" s="15" t="s">
        <v>453</v>
      </c>
      <c r="G141" s="15" t="str">
        <f t="shared" si="21"/>
        <v>Pot is clipped with ground</v>
      </c>
      <c r="H141" s="15" t="s">
        <v>452</v>
      </c>
      <c r="I141" s="15" t="s">
        <v>242</v>
      </c>
      <c r="J141" s="15" t="str">
        <f t="shared" si="22"/>
        <v>Pot is clipped with ground
*Location(s):*
Admin MovePlayer 348707.28 176008.02 962.45 0 289.94 164.19 0.00
*Expected Results:*
The clipping issue should be fixed</v>
      </c>
      <c r="K141" s="15" t="s">
        <v>507</v>
      </c>
      <c r="L141" s="23" t="str">
        <f t="shared" si="23"/>
        <v>https://jira.krafton.com/browse/PUBG-41941</v>
      </c>
    </row>
    <row r="142" spans="2:12" ht="89.25" hidden="1" x14ac:dyDescent="0.15">
      <c r="B142" s="24">
        <v>43887</v>
      </c>
      <c r="C142" s="15">
        <v>129</v>
      </c>
      <c r="D142" s="25" t="str">
        <f t="shared" si="24"/>
        <v>41942</v>
      </c>
      <c r="E142" s="25" t="str">
        <f t="shared" si="20"/>
        <v>DJ</v>
      </c>
      <c r="F142" s="15" t="s">
        <v>455</v>
      </c>
      <c r="G142" s="15" t="str">
        <f t="shared" si="21"/>
        <v>Grass is clipped with round basket</v>
      </c>
      <c r="H142" s="15" t="s">
        <v>454</v>
      </c>
      <c r="I142" s="15" t="s">
        <v>242</v>
      </c>
      <c r="J142" s="15" t="str">
        <f t="shared" si="22"/>
        <v>Grass is clipped with round basket
*Location(s):*
Admin MovePlayer 351115.28 173341.14 661.97 0 319.91 206.60 0.00
*Expected Results:*
The clipping issue should be fixed</v>
      </c>
      <c r="K142" s="15" t="s">
        <v>508</v>
      </c>
      <c r="L142" s="23" t="str">
        <f t="shared" si="23"/>
        <v>https://jira.krafton.com/browse/PUBG-41942</v>
      </c>
    </row>
    <row r="143" spans="2:12" ht="89.25" hidden="1" x14ac:dyDescent="0.15">
      <c r="B143" s="24">
        <v>43887</v>
      </c>
      <c r="C143" s="15">
        <v>130</v>
      </c>
      <c r="D143" s="25" t="str">
        <f t="shared" si="24"/>
        <v>41944</v>
      </c>
      <c r="E143" s="25" t="str">
        <f t="shared" si="20"/>
        <v>DJ</v>
      </c>
      <c r="F143" s="15" t="s">
        <v>457</v>
      </c>
      <c r="G143" s="15" t="str">
        <f t="shared" si="21"/>
        <v>Detached windows is clipped with wall</v>
      </c>
      <c r="H143" s="15" t="s">
        <v>456</v>
      </c>
      <c r="I143" s="15" t="s">
        <v>242</v>
      </c>
      <c r="J143" s="15" t="str">
        <f t="shared" si="22"/>
        <v>Detached windows is clipped with wall
*Location(s):*
Admin MovePlayer 353413.09 177733.88 799.63 0 347.96 264.25 0.00
*Expected Results:*
The clipping issue should be fixed</v>
      </c>
      <c r="K143" s="15" t="s">
        <v>509</v>
      </c>
      <c r="L143" s="23" t="str">
        <f t="shared" si="23"/>
        <v>https://jira.krafton.com/browse/PUBG-41944</v>
      </c>
    </row>
    <row r="144" spans="2:12" ht="114.75" hidden="1" x14ac:dyDescent="0.15">
      <c r="B144" s="24">
        <v>43887</v>
      </c>
      <c r="C144" s="15">
        <v>131</v>
      </c>
      <c r="D144" s="25" t="str">
        <f t="shared" si="24"/>
        <v>41945</v>
      </c>
      <c r="E144" s="25" t="str">
        <f t="shared" si="20"/>
        <v>DJ</v>
      </c>
      <c r="F144" s="15" t="s">
        <v>458</v>
      </c>
      <c r="G144" s="15" t="str">
        <f t="shared" si="21"/>
        <v>Grass is clipped with blue-capped bottle</v>
      </c>
      <c r="H144" s="15" t="s">
        <v>461</v>
      </c>
      <c r="I144" s="15" t="s">
        <v>242</v>
      </c>
      <c r="J144" s="15" t="str">
        <f t="shared" si="22"/>
        <v>Grass is clipped with blue-capped bottle
*Location(s):*
Admin MovePlayer 347481.50 174269.72 702.40 0 324.67 143.07 0.00
Admin MovePlayer 371225.91 134573.73 323.53 0 332.18 325.90 0.00
*Expected Results:*
The clipping issue should be fixed</v>
      </c>
      <c r="K144" s="15" t="s">
        <v>510</v>
      </c>
      <c r="L144" s="23" t="str">
        <f t="shared" si="23"/>
        <v>https://jira.krafton.com/browse/PUBG-41945</v>
      </c>
    </row>
    <row r="145" spans="2:12" ht="89.25" hidden="1" x14ac:dyDescent="0.15">
      <c r="B145" s="24">
        <v>43887</v>
      </c>
      <c r="C145" s="15">
        <v>132</v>
      </c>
      <c r="D145" s="25" t="str">
        <f t="shared" si="24"/>
        <v>41946</v>
      </c>
      <c r="E145" s="25" t="str">
        <f t="shared" si="20"/>
        <v>DJ</v>
      </c>
      <c r="F145" s="15" t="s">
        <v>459</v>
      </c>
      <c r="G145" s="15" t="str">
        <f t="shared" si="21"/>
        <v>Grass is clipped with fallen table</v>
      </c>
      <c r="H145" s="15" t="s">
        <v>462</v>
      </c>
      <c r="I145" s="15" t="s">
        <v>242</v>
      </c>
      <c r="J145" s="15" t="str">
        <f t="shared" si="22"/>
        <v>Grass is clipped with fallen table
*Location(s):*
Admin MovePlayer 367133.63 131185.20 536.73 0 317.22 337.64 0.00
*Expected Results:*
The clipping issue should be fixed</v>
      </c>
      <c r="K145" s="15" t="s">
        <v>511</v>
      </c>
      <c r="L145" s="23" t="str">
        <f t="shared" si="23"/>
        <v>https://jira.krafton.com/browse/PUBG-41946</v>
      </c>
    </row>
    <row r="146" spans="2:12" ht="89.25" hidden="1" x14ac:dyDescent="0.15">
      <c r="B146" s="24">
        <v>43887</v>
      </c>
      <c r="C146" s="15">
        <v>133</v>
      </c>
      <c r="D146" s="25" t="str">
        <f t="shared" si="24"/>
        <v>41947</v>
      </c>
      <c r="E146" s="25" t="str">
        <f t="shared" si="20"/>
        <v>DJ</v>
      </c>
      <c r="F146" s="15" t="s">
        <v>466</v>
      </c>
      <c r="G146" s="15" t="str">
        <f t="shared" si="21"/>
        <v>Grass is clipped with 2 shelfs and a pot</v>
      </c>
      <c r="H146" s="15" t="s">
        <v>465</v>
      </c>
      <c r="I146" s="15" t="s">
        <v>242</v>
      </c>
      <c r="J146" s="15" t="str">
        <f t="shared" si="22"/>
        <v>Grass is clipped with 2 shelfs and a pot
*Location(s):*
Admin MovePlayer 313249.19 152399.36 1378.44 0 326.34 189.34 0.00
*Expected Results:*
The clipping issue should be fixed</v>
      </c>
      <c r="K146" s="15" t="s">
        <v>512</v>
      </c>
      <c r="L146" s="23" t="str">
        <f t="shared" si="23"/>
        <v>https://jira.krafton.com/browse/PUBG-41947</v>
      </c>
    </row>
    <row r="147" spans="2:12" ht="89.25" hidden="1" x14ac:dyDescent="0.15">
      <c r="B147" s="24">
        <v>43887</v>
      </c>
      <c r="C147" s="15">
        <v>134</v>
      </c>
      <c r="D147" s="25" t="str">
        <f t="shared" si="24"/>
        <v>41948</v>
      </c>
      <c r="E147" s="25" t="str">
        <f t="shared" si="20"/>
        <v>DJ</v>
      </c>
      <c r="F147" s="15" t="s">
        <v>468</v>
      </c>
      <c r="G147" s="15" t="str">
        <f t="shared" si="21"/>
        <v>Wood shelf is clipped with house</v>
      </c>
      <c r="H147" s="15" t="s">
        <v>467</v>
      </c>
      <c r="I147" s="15" t="s">
        <v>242</v>
      </c>
      <c r="J147" s="15" t="str">
        <f t="shared" si="22"/>
        <v>Wood shelf is clipped with house
*Location(s):*
Admin MovePlayer 311849.59 136945.47 1113.61 0 329.46 305.34 0.00
*Expected Results:*
The clipping issue should be fixed</v>
      </c>
      <c r="K147" s="15" t="s">
        <v>513</v>
      </c>
      <c r="L147" s="23" t="str">
        <f t="shared" si="23"/>
        <v>https://jira.krafton.com/browse/PUBG-41948</v>
      </c>
    </row>
    <row r="148" spans="2:12" ht="89.25" hidden="1" x14ac:dyDescent="0.15">
      <c r="B148" s="24">
        <v>43887</v>
      </c>
      <c r="C148" s="15">
        <v>135</v>
      </c>
      <c r="D148" s="25" t="str">
        <f t="shared" si="24"/>
        <v>41949</v>
      </c>
      <c r="E148" s="25" t="str">
        <f t="shared" si="20"/>
        <v>DJ</v>
      </c>
      <c r="F148" s="15" t="s">
        <v>475</v>
      </c>
      <c r="G148" s="15" t="str">
        <f t="shared" si="21"/>
        <v>Pot and tall basket are clipped with each other</v>
      </c>
      <c r="H148" s="15" t="s">
        <v>474</v>
      </c>
      <c r="I148" s="15" t="s">
        <v>242</v>
      </c>
      <c r="J148" s="15" t="str">
        <f t="shared" si="22"/>
        <v>Pot and tall basket are clipped with each other
*Location(s):*
Admin MovePlayer 321478.06 121508.19 1003.54 0 317.79 280.11 0.00
*Expected Results:*
The clipping issue should be fixed</v>
      </c>
      <c r="K148" s="15" t="s">
        <v>514</v>
      </c>
      <c r="L148" s="23" t="str">
        <f t="shared" si="23"/>
        <v>https://jira.krafton.com/browse/PUBG-41949</v>
      </c>
    </row>
    <row r="149" spans="2:12" ht="89.25" hidden="1" x14ac:dyDescent="0.15">
      <c r="B149" s="24">
        <v>43887</v>
      </c>
      <c r="C149" s="15">
        <v>136</v>
      </c>
      <c r="D149" s="25" t="str">
        <f t="shared" si="24"/>
        <v>41950</v>
      </c>
      <c r="E149" s="25" t="str">
        <f t="shared" si="20"/>
        <v>DJ</v>
      </c>
      <c r="F149" s="15" t="s">
        <v>481</v>
      </c>
      <c r="G149" s="15" t="str">
        <f t="shared" si="21"/>
        <v>Table and chair are slightly floating over ground</v>
      </c>
      <c r="H149" s="15" t="s">
        <v>476</v>
      </c>
      <c r="I149" s="15" t="s">
        <v>477</v>
      </c>
      <c r="J149" s="15" t="str">
        <f t="shared" si="22"/>
        <v>Table and chair are slightly floating over ground
*Location(s):*
Admin MovePlayer 319520.34 122159.27 1023.01 0 323.28 80.82 0.00
*Expected Results:*
The table and chairs should rest on gound properly.</v>
      </c>
      <c r="K149" s="15" t="s">
        <v>515</v>
      </c>
      <c r="L149" s="23" t="str">
        <f t="shared" si="23"/>
        <v>https://jira.krafton.com/browse/PUBG-41950</v>
      </c>
    </row>
    <row r="150" spans="2:12" ht="89.25" hidden="1" x14ac:dyDescent="0.15">
      <c r="B150" s="24">
        <v>43887</v>
      </c>
      <c r="C150" s="15">
        <v>137</v>
      </c>
      <c r="D150" s="25" t="str">
        <f t="shared" si="24"/>
        <v>41951</v>
      </c>
      <c r="E150" s="25" t="str">
        <f t="shared" si="20"/>
        <v>DJ</v>
      </c>
      <c r="F150" s="15" t="s">
        <v>480</v>
      </c>
      <c r="G150" s="15" t="str">
        <f t="shared" si="21"/>
        <v>Shelf is slightly floating over ground</v>
      </c>
      <c r="H150" s="15" t="s">
        <v>478</v>
      </c>
      <c r="I150" s="15" t="s">
        <v>479</v>
      </c>
      <c r="J150" s="15" t="str">
        <f t="shared" si="22"/>
        <v>Shelf is slightly floating over ground
*Location(s):*
Admin MovePlayer 321795.78 121438.39 991.64 0 331.82 217.08 0.00
*Expected Results:*
The shelf should rest on ground properly</v>
      </c>
      <c r="K150" s="15" t="s">
        <v>516</v>
      </c>
      <c r="L150" s="23" t="str">
        <f t="shared" si="23"/>
        <v>https://jira.krafton.com/browse/PUBG-41951</v>
      </c>
    </row>
    <row r="151" spans="2:12" ht="408" x14ac:dyDescent="0.15">
      <c r="B151" s="24">
        <v>43888</v>
      </c>
      <c r="C151">
        <v>138</v>
      </c>
      <c r="D151" s="25" t="str">
        <f t="shared" si="24"/>
        <v>42241</v>
      </c>
      <c r="E151" s="25" t="str">
        <f t="shared" si="20"/>
        <v>DJ</v>
      </c>
      <c r="F151" s="15" t="s">
        <v>529</v>
      </c>
      <c r="G151" s="15" t="str">
        <f t="shared" si="21"/>
        <v>Foliage is clipped with tetrapod</v>
      </c>
      <c r="H151" s="15" t="s">
        <v>530</v>
      </c>
      <c r="I151" s="15" t="s">
        <v>242</v>
      </c>
      <c r="J151" s="15" t="str">
        <f t="shared" si="22"/>
        <v>Foliage is clipped with tetrapod
*Location(s):*
Admin MovePlayer 345460.22 148660.94 762.70 0 318.51 324.52 0.00
Admin MovePlayer 341583.78 146192.58 762.81 0 329.04 200.76 0.00
Admin MovePlayer 341264.91 146658.69 762.81 0 335.33 250.60 0.00
Admin MovePlayer 338705.75 149262.91 762.81 0 337.51 198.35 0.00
Admin MovePlayer 338230.34 149749.55 762.81 0 321.09 259.17 0.00
Admin MovePlayer 334459.72 152853.69 762.81 0 342.60 14.80 0.00
Admin MovePlayer 335340.81 152878.45 762.81 0 319.71 180.78 0.00
Admin MovePlayer 337042.78 156990.64 762.81 0 332.15 193.19 0.00
Admin MovePlayer 339581.03 161149.88 762.81 0 335.86 257.68 0.00
Admin MovePlayer 342772.63 163551.92 762.81 0 337.61 288.22 0.00
Admin MovePlayer 347651.69 164891.48 762.81 0 326.68 236.84 0.00
Admin MovePlayer 350198.19 162089.36 762.81 0 339.96 318.13 0.00
Admin MovePlayer 350198.19 162089.36 762.81 0 339.96 318.13 0.00
Admin MovePlayer 351302.66 154658.39 762.81 0 340.13 293.46 0.00
Admin MovePlayer 351277.91 153725.73 762.81 0 330.97 66.66 0.00
Admin MovePlayer 343394.38 154671.55 762.81 0 341.09 215.11 0.00
*Expected Results:*
The clipping issue should be fixed</v>
      </c>
      <c r="K151" s="15" t="s">
        <v>612</v>
      </c>
      <c r="L151" s="23" t="str">
        <f t="shared" si="23"/>
        <v>https://jira.krafton.com/browse/PUBG-42241</v>
      </c>
    </row>
    <row r="152" spans="2:12" ht="178.5" x14ac:dyDescent="0.15">
      <c r="B152" s="24">
        <v>43888</v>
      </c>
      <c r="C152">
        <v>139</v>
      </c>
      <c r="D152" s="25" t="str">
        <f t="shared" si="24"/>
        <v>42242</v>
      </c>
      <c r="E152" s="25" t="str">
        <f t="shared" si="20"/>
        <v>DJ</v>
      </c>
      <c r="F152" s="15" t="s">
        <v>531</v>
      </c>
      <c r="G152" s="15" t="str">
        <f t="shared" si="21"/>
        <v>Foliage is clipped with concrete plate on ground</v>
      </c>
      <c r="H152" s="15" t="s">
        <v>532</v>
      </c>
      <c r="I152" s="15" t="s">
        <v>242</v>
      </c>
      <c r="J152" s="15" t="str">
        <f t="shared" si="22"/>
        <v>Foliage is clipped with concrete plate on ground
*Location(s):*
Admin MovePlayer 335464.19 155320.08 762.81 0 318.79 52.56 0.00
Admin MovePlayer 350492.69 153606.86 762.81 0 329.09 288.29 0.00
Admin MovePlayer 345428.88 149861.27 762.81 0 330.06 322.97 0.00
Admin MovePlayer 339357.53 156402.34 762.81 0 333.12 256.94 0.00
Admin MovePlayer 349412.09 155701.92 765.09 0 334.78 342.36 0.00
Admin MovePlayer 344479.22 153596.33 762.81 0 329.81 194.11 0.00
Admin MovePlayer 341059.19 154332.28 762.81 0 333.88 152.04 0.00
*Expected Results:*
The clipping issue should be fixed</v>
      </c>
      <c r="K152" s="15" t="s">
        <v>613</v>
      </c>
      <c r="L152" s="23" t="str">
        <f t="shared" si="23"/>
        <v>https://jira.krafton.com/browse/PUBG-42242</v>
      </c>
    </row>
    <row r="153" spans="2:12" ht="331.5" x14ac:dyDescent="0.15">
      <c r="B153" s="24">
        <v>43888</v>
      </c>
      <c r="C153">
        <v>140</v>
      </c>
      <c r="D153" s="25" t="str">
        <f t="shared" si="24"/>
        <v>42243</v>
      </c>
      <c r="E153" s="25" t="str">
        <f t="shared" si="20"/>
        <v>DJ</v>
      </c>
      <c r="F153" s="15" t="s">
        <v>533</v>
      </c>
      <c r="G153" s="15" t="str">
        <f t="shared" si="21"/>
        <v>Sandbags are clipped with wall's edges</v>
      </c>
      <c r="H153" s="15" t="s">
        <v>534</v>
      </c>
      <c r="I153" s="15" t="s">
        <v>242</v>
      </c>
      <c r="J153" s="15" t="str">
        <f t="shared" si="22"/>
        <v>Sandbags are clipped with wall's edges
*Location(s):*
Admin MovePlayer 351679.00 158401.95 762.81 0 338.96 58.00 0.00
Admin MovePlayer 352350.88 158036.16 882.51 0 292.96 314.90 0.00
Admin MovePlayer 348115.59 158161.27 762.81 0 330.09 228.04 0.00
Admin MovePlayer 347616.91 158265.22 762.81 0 328.38 49.53 0.00
Admin MovePlayer 346697.63 159242.59 762.81 0 336.33 333.15 0.00
Admin MovePlayer 346665.81 159315.23 762.81 0 332.73 132.96 0.00
Admin MovePlayer 346076.53 160147.36 762.81 0 328.72 261.97 0.00
Admin MovePlayer 346044.97 158192.66 879.04 0 299.65 143.41 0.00
Admin MovePlayer 346734.16 157522.27 882.07 0 301.94 321.42 0.00
Admin MovePlayer 340533.53 156698.67 762.81 0 340.54 225.25 0.00
Admin MovePlayer 341588.44 153903.19 762.81 0 328.83 38.73 0.00
Admin MovePlayer 340887.09 153304.36 762.81 0 333.86 273.14 0.00
Admin MovePlayer 341891.25 152394.69 762.81 0 329.75 223.71 0.00
*Expected Results:*
The clipping issue should be fixed</v>
      </c>
      <c r="K153" s="15" t="s">
        <v>614</v>
      </c>
      <c r="L153" s="23" t="str">
        <f t="shared" si="23"/>
        <v>https://jira.krafton.com/browse/PUBG-42243</v>
      </c>
    </row>
    <row r="154" spans="2:12" ht="89.25" x14ac:dyDescent="0.15">
      <c r="B154" s="24">
        <v>43888</v>
      </c>
      <c r="C154">
        <v>141</v>
      </c>
      <c r="D154" s="25" t="str">
        <f t="shared" si="24"/>
        <v>42244</v>
      </c>
      <c r="E154" s="25" t="str">
        <f t="shared" si="20"/>
        <v>DJ</v>
      </c>
      <c r="F154" s="15" t="s">
        <v>536</v>
      </c>
      <c r="G154" s="15" t="str">
        <f t="shared" si="21"/>
        <v>LOD issue occurs on top of sand box</v>
      </c>
      <c r="H154" s="15" t="s">
        <v>535</v>
      </c>
      <c r="I154" s="15" t="s">
        <v>362</v>
      </c>
      <c r="J154" s="15" t="str">
        <f t="shared" si="22"/>
        <v>LOD issue occurs on top of sand box
*Location(s):*
Admin MovePlayer 343292.47 149704.59 1140.15 0 322.54 332.24 0.00
*Expected Results:*
The LOD issue should be fixed</v>
      </c>
      <c r="K154" s="15" t="s">
        <v>615</v>
      </c>
      <c r="L154" s="23" t="str">
        <f t="shared" si="23"/>
        <v>https://jira.krafton.com/browse/PUBG-42244</v>
      </c>
    </row>
    <row r="155" spans="2:12" ht="89.25" x14ac:dyDescent="0.15">
      <c r="B155" s="24">
        <v>43888</v>
      </c>
      <c r="C155">
        <v>142</v>
      </c>
      <c r="D155" s="25" t="str">
        <f t="shared" si="24"/>
        <v>42245</v>
      </c>
      <c r="E155" s="25" t="str">
        <f t="shared" si="20"/>
        <v>DJ</v>
      </c>
      <c r="F155" s="15" t="s">
        <v>538</v>
      </c>
      <c r="G155" s="15" t="str">
        <f t="shared" si="21"/>
        <v>Grass is clipped with ramp stair</v>
      </c>
      <c r="H155" s="15" t="s">
        <v>537</v>
      </c>
      <c r="I155" s="15" t="s">
        <v>242</v>
      </c>
      <c r="J155" s="15" t="str">
        <f t="shared" si="22"/>
        <v>Grass is clipped with ramp stair
*Location(s):*
Admin MovePlayer 340620.59 149501.83 762.81 0 345.04 315.89 0.00
*Expected Results:*
The clipping issue should be fixed</v>
      </c>
      <c r="K155" s="15" t="s">
        <v>616</v>
      </c>
      <c r="L155" s="23" t="str">
        <f t="shared" si="23"/>
        <v>https://jira.krafton.com/browse/PUBG-42245</v>
      </c>
    </row>
    <row r="156" spans="2:12" ht="127.5" x14ac:dyDescent="0.15">
      <c r="B156" s="24">
        <v>43888</v>
      </c>
      <c r="C156">
        <v>143</v>
      </c>
      <c r="D156" s="25" t="str">
        <f t="shared" si="24"/>
        <v>42246</v>
      </c>
      <c r="E156" s="25" t="str">
        <f t="shared" si="20"/>
        <v>DJ</v>
      </c>
      <c r="F156" s="15" t="s">
        <v>548</v>
      </c>
      <c r="G156" s="15" t="str">
        <f t="shared" si="21"/>
        <v>LOD issue occurs on bricks of blocked windows</v>
      </c>
      <c r="H156" s="15" t="s">
        <v>560</v>
      </c>
      <c r="I156" s="15" t="s">
        <v>362</v>
      </c>
      <c r="J156" s="15" t="str">
        <f t="shared" si="22"/>
        <v>LOD issue occurs on bricks of blocked windows
*Location(s):*
Admin MovePlayer 346448.44 150824.38 762.81 0 357.78 47.97 0.00
Admin MovePlayer 344250.34 150574.20 762.81 0 358.78 72.72 0.00
Admin MovePlayer 340501.63 155991.23 762.81 0 356.41 313.99 0.00
Admin MovePlayer 334812.69 156627.86 762.81 0 2.67 329.74 0.00
*Expected Results:*
The LOD issue should be fixed</v>
      </c>
      <c r="K156" s="15" t="s">
        <v>617</v>
      </c>
      <c r="L156" s="23" t="str">
        <f t="shared" si="23"/>
        <v>https://jira.krafton.com/browse/PUBG-42246</v>
      </c>
    </row>
    <row r="157" spans="2:12" ht="140.25" x14ac:dyDescent="0.15">
      <c r="B157" s="24">
        <v>43888</v>
      </c>
      <c r="C157">
        <v>144</v>
      </c>
      <c r="D157" s="25" t="str">
        <f t="shared" si="24"/>
        <v>42247</v>
      </c>
      <c r="E157" s="25" t="str">
        <f t="shared" si="20"/>
        <v>DJ</v>
      </c>
      <c r="F157" s="15" t="s">
        <v>539</v>
      </c>
      <c r="G157" s="15" t="str">
        <f t="shared" si="21"/>
        <v>Sand box is clipped with wall</v>
      </c>
      <c r="H157" s="15" t="s">
        <v>542</v>
      </c>
      <c r="I157" s="15" t="s">
        <v>242</v>
      </c>
      <c r="J157" s="15" t="str">
        <f t="shared" si="22"/>
        <v>Sand box is clipped with wall
*Location(s):*
Admin MovePlayer 346591.53 151190.91 762.81 0 347.76 358.00 0.00
Admin MovePlayer 339202.22 151695.22 762.81 0 346.15 356.16 0.00
Admin MovePlayer 339783.75 151077.78 762.81 0 342.55 5.83 0.00
Admin MovePlayer 344257.59 162242.63 762.81 0 347.84 347.21 0.00
Admin MovePlayer 345343.81 162197.44 762.81 0 343.19 80.24 0.00
*Expected Results:*
The clipping issue should be fixed</v>
      </c>
      <c r="K157" s="15" t="s">
        <v>618</v>
      </c>
      <c r="L157" s="23" t="str">
        <f t="shared" si="23"/>
        <v>https://jira.krafton.com/browse/PUBG-42247</v>
      </c>
    </row>
    <row r="158" spans="2:12" ht="89.25" x14ac:dyDescent="0.15">
      <c r="B158" s="24">
        <v>43888</v>
      </c>
      <c r="C158">
        <v>145</v>
      </c>
      <c r="D158" s="25" t="str">
        <f t="shared" si="24"/>
        <v>42248</v>
      </c>
      <c r="E158" s="25" t="str">
        <f t="shared" ref="E158:E163" si="25">MID(F158,2,2)</f>
        <v>DJ</v>
      </c>
      <c r="F158" s="15" t="s">
        <v>541</v>
      </c>
      <c r="G158" s="15" t="str">
        <f t="shared" ref="G158:G163" si="26">RIGHT(F158,LEN(F158)-13)</f>
        <v>Sand box is clipped with concrete plate on ground</v>
      </c>
      <c r="H158" s="15" t="s">
        <v>540</v>
      </c>
      <c r="I158" s="15" t="s">
        <v>242</v>
      </c>
      <c r="J158" s="15" t="str">
        <f t="shared" ref="J158:J163" si="27">CONCATENATE(G158,CHAR(10),CHAR(10),"*Location(s):*",CHAR(10),H158,CHAR(10),CHAR(10),"*Expected Results:*",CHAR(10),I158)</f>
        <v>Sand box is clipped with concrete plate on ground
*Location(s):*
Admin MovePlayer 345134.94 152425.44 762.81 0 339.33 195.35 0.00
*Expected Results:*
The clipping issue should be fixed</v>
      </c>
      <c r="K158" s="15" t="s">
        <v>619</v>
      </c>
      <c r="L158" s="23" t="str">
        <f t="shared" ref="L158:L163" si="28">HYPERLINK(K158)</f>
        <v>https://jira.krafton.com/browse/PUBG-42248</v>
      </c>
    </row>
    <row r="159" spans="2:12" ht="102" x14ac:dyDescent="0.15">
      <c r="B159" s="24">
        <v>43888</v>
      </c>
      <c r="C159">
        <v>146</v>
      </c>
      <c r="D159" s="25" t="str">
        <f t="shared" si="24"/>
        <v/>
      </c>
      <c r="E159" s="25" t="str">
        <f t="shared" si="25"/>
        <v>DJ</v>
      </c>
      <c r="F159" s="38" t="s">
        <v>543</v>
      </c>
      <c r="G159" s="15" t="str">
        <f t="shared" si="26"/>
        <v>Frame is clipped with wall</v>
      </c>
      <c r="H159" s="15" t="s">
        <v>544</v>
      </c>
      <c r="I159" s="15" t="s">
        <v>242</v>
      </c>
      <c r="J159" s="15" t="str">
        <f t="shared" si="27"/>
        <v>Frame is clipped with wall
*Location(s):*
Admin MovePlayer 343500.53 148641.61 790.15 0 337.01 228.88 0.00
Admin MovePlayer 340631.81 151031.91 800.15 0 338.67 223.57 0.00
*Expected Results:*
The clipping issue should be fixed</v>
      </c>
      <c r="L159" s="23" t="str">
        <f t="shared" si="28"/>
        <v/>
      </c>
    </row>
    <row r="160" spans="2:12" ht="89.25" x14ac:dyDescent="0.15">
      <c r="B160" s="24">
        <v>43888</v>
      </c>
      <c r="C160">
        <v>147</v>
      </c>
      <c r="D160" s="25" t="str">
        <f t="shared" si="24"/>
        <v>42249</v>
      </c>
      <c r="E160" s="25" t="str">
        <f t="shared" si="25"/>
        <v>DJ</v>
      </c>
      <c r="F160" s="15" t="s">
        <v>546</v>
      </c>
      <c r="G160" s="15" t="str">
        <f t="shared" si="26"/>
        <v>LOD issue occurs on edge of concrete box</v>
      </c>
      <c r="H160" s="15" t="s">
        <v>545</v>
      </c>
      <c r="I160" s="15" t="s">
        <v>362</v>
      </c>
      <c r="J160" s="15" t="str">
        <f t="shared" si="27"/>
        <v>LOD issue occurs on edge of concrete box
*Location(s):*
Admin MovePlayer 345565.97 152509.06 762.81 0 354.18 11.23 0.00
*Expected Results:*
The LOD issue should be fixed</v>
      </c>
      <c r="K160" s="15" t="s">
        <v>620</v>
      </c>
      <c r="L160" s="23" t="str">
        <f t="shared" si="28"/>
        <v>https://jira.krafton.com/browse/PUBG-42249</v>
      </c>
    </row>
    <row r="161" spans="2:12" ht="102" x14ac:dyDescent="0.15">
      <c r="B161" s="24">
        <v>43888</v>
      </c>
      <c r="C161">
        <v>148</v>
      </c>
      <c r="D161" s="25" t="str">
        <f t="shared" si="24"/>
        <v>42250</v>
      </c>
      <c r="E161" s="25" t="str">
        <f t="shared" si="25"/>
        <v>DJ</v>
      </c>
      <c r="F161" s="15" t="s">
        <v>609</v>
      </c>
      <c r="G161" s="15" t="s">
        <v>610</v>
      </c>
      <c r="H161" s="15" t="s">
        <v>547</v>
      </c>
      <c r="I161" s="15" t="s">
        <v>262</v>
      </c>
      <c r="J161" s="15" t="str">
        <f t="shared" si="27"/>
        <v>Strange blue-tinted texture of bricks in blocked window. It looks distinctivey different from all other blocked windows in the same room.
*Location(s):*
Admin MovePlayer 347130.44 151794.27 790.83 0 355.09 281.10 0.00
*Expected Results:*
The Texture issue should be fixed</v>
      </c>
      <c r="K161" s="15" t="s">
        <v>621</v>
      </c>
      <c r="L161" s="23" t="str">
        <f t="shared" si="28"/>
        <v>https://jira.krafton.com/browse/PUBG-42250</v>
      </c>
    </row>
    <row r="162" spans="2:12" ht="153" x14ac:dyDescent="0.15">
      <c r="B162" s="24">
        <v>43888</v>
      </c>
      <c r="C162">
        <v>149</v>
      </c>
      <c r="D162" s="25" t="str">
        <f t="shared" si="24"/>
        <v>42251</v>
      </c>
      <c r="E162" s="25" t="str">
        <f t="shared" si="25"/>
        <v>DJ</v>
      </c>
      <c r="F162" s="15" t="s">
        <v>549</v>
      </c>
      <c r="G162" s="15" t="s">
        <v>550</v>
      </c>
      <c r="H162" s="15" t="s">
        <v>551</v>
      </c>
      <c r="I162" s="15" t="s">
        <v>262</v>
      </c>
      <c r="J162" s="15" t="str">
        <f t="shared" si="27"/>
        <v>Most of the vines are going downwards, from rooftop or wires. However in a few spots thery are going from ground upwards.
It looks inconsistent and strange.
*Location(s):*
Admin MovePlayer 343060.56 155736.63 762.81 0 353.89 197.30 0.00
Admin MovePlayer 343076.44 154433.69 1183.20 0 341.95 2.75 0.00
Admin MovePlayer 346674.91 156427.72 1140.15 0 340.69 186.24 0.00
Admin MovePlayer 347564.22 158440.48 890.16 0 347.50 73.38 0.00
*Expected Results:*
The Texture issue should be fixed</v>
      </c>
      <c r="K162" s="15" t="s">
        <v>622</v>
      </c>
      <c r="L162" s="23" t="str">
        <f t="shared" si="28"/>
        <v>https://jira.krafton.com/browse/PUBG-42251</v>
      </c>
    </row>
    <row r="163" spans="2:12" ht="114.75" x14ac:dyDescent="0.15">
      <c r="B163" s="24">
        <v>43888</v>
      </c>
      <c r="C163">
        <v>150</v>
      </c>
      <c r="D163" s="25" t="str">
        <f t="shared" si="24"/>
        <v>42252</v>
      </c>
      <c r="E163" s="25" t="str">
        <f t="shared" si="25"/>
        <v>DJ</v>
      </c>
      <c r="F163" s="15" t="s">
        <v>555</v>
      </c>
      <c r="G163" s="15" t="str">
        <f t="shared" si="26"/>
        <v>Barrel is clipped with concrete block and walls</v>
      </c>
      <c r="H163" s="15" t="s">
        <v>554</v>
      </c>
      <c r="I163" s="15" t="s">
        <v>242</v>
      </c>
      <c r="J163" s="15" t="str">
        <f t="shared" si="27"/>
        <v>Barrel is clipped with concrete block and walls
*Location(s):*
Admin MovePlayer 347020.50 160598.03 762.81 0 338.13 291.01 0.00
Admin MovePlayer 352115.09 157207.31 762.81 0 331.04 113.78 0.00
Admin MovePlayer 343568.47 160832.97 762.81 0 332.55 148.09 0.00
*Expected Results:*
The clipping issue should be fixed</v>
      </c>
      <c r="K163" s="15" t="s">
        <v>623</v>
      </c>
      <c r="L163" s="23" t="str">
        <f t="shared" si="28"/>
        <v>https://jira.krafton.com/browse/PUBG-42252</v>
      </c>
    </row>
    <row r="164" spans="2:12" ht="127.5" x14ac:dyDescent="0.15">
      <c r="B164" s="24">
        <v>43888</v>
      </c>
      <c r="C164">
        <v>151</v>
      </c>
      <c r="D164" s="25" t="str">
        <f t="shared" ref="D164:D170" si="29">RIGHT(K164,5)</f>
        <v>42253</v>
      </c>
      <c r="E164" s="25" t="str">
        <f t="shared" ref="E164:E170" si="30">MID(F164,2,2)</f>
        <v>DJ</v>
      </c>
      <c r="F164" s="15" t="s">
        <v>552</v>
      </c>
      <c r="G164" s="15" t="str">
        <f t="shared" ref="G164:G170" si="31">RIGHT(F164,LEN(F164)-13)</f>
        <v>Tarp is clipped with building or grass</v>
      </c>
      <c r="H164" s="15" t="s">
        <v>553</v>
      </c>
      <c r="I164" s="15" t="s">
        <v>242</v>
      </c>
      <c r="J164" s="15" t="str">
        <f t="shared" ref="J164:J170" si="32">CONCATENATE(G164,CHAR(10),CHAR(10),"*Location(s):*",CHAR(10),H164,CHAR(10),CHAR(10),"*Expected Results:*",CHAR(10),I164)</f>
        <v>Tarp is clipped with building or grass
*Location(s):*
Admin MovePlayer 349331.31 155268.81 762.81 0 343.46 242.31 0.00
Admin MovePlayer 342900.41 158122.14 762.79 0 323.87 141.37 0.00
Admin MovePlayer 342841.25 151078.09 762.81 0 321.21 312.86 0.00
Admin MovePlayer 340762.19 159807.98 762.81 0 334.16 133.80 0.00
*Expected Results:*
The clipping issue should be fixed</v>
      </c>
      <c r="K164" s="15" t="s">
        <v>624</v>
      </c>
      <c r="L164" s="23" t="str">
        <f t="shared" ref="L164:L170" si="33">HYPERLINK(K164)</f>
        <v>https://jira.krafton.com/browse/PUBG-42253</v>
      </c>
    </row>
    <row r="165" spans="2:12" ht="102" x14ac:dyDescent="0.15">
      <c r="B165" s="24">
        <v>43888</v>
      </c>
      <c r="C165">
        <v>152</v>
      </c>
      <c r="D165" s="25" t="str">
        <f t="shared" si="29"/>
        <v>42254</v>
      </c>
      <c r="E165" s="25" t="str">
        <f t="shared" si="30"/>
        <v>DJ</v>
      </c>
      <c r="F165" s="15" t="s">
        <v>556</v>
      </c>
      <c r="G165" s="15" t="str">
        <f t="shared" si="31"/>
        <v>Wood crate is clipped with building</v>
      </c>
      <c r="H165" s="15" t="s">
        <v>557</v>
      </c>
      <c r="I165" s="15" t="s">
        <v>242</v>
      </c>
      <c r="J165" s="15" t="str">
        <f t="shared" si="32"/>
        <v>Wood crate is clipped with building
*Location(s):*
Admin MovePlayer 337853.06 158507.41 762.81 0 349.93 133.32 0.00
Admin MovePlayer 341266.00 162876.08 762.81 0 346.31 292.66 0.00
*Expected Results:*
The clipping issue should be fixed</v>
      </c>
      <c r="K165" s="15" t="s">
        <v>625</v>
      </c>
      <c r="L165" s="23" t="str">
        <f t="shared" si="33"/>
        <v>https://jira.krafton.com/browse/PUBG-42254</v>
      </c>
    </row>
    <row r="166" spans="2:12" ht="153" x14ac:dyDescent="0.15">
      <c r="B166" s="24">
        <v>43888</v>
      </c>
      <c r="C166">
        <v>153</v>
      </c>
      <c r="D166" s="25" t="str">
        <f t="shared" si="29"/>
        <v>42255</v>
      </c>
      <c r="E166" s="25" t="str">
        <f t="shared" si="30"/>
        <v>DJ</v>
      </c>
      <c r="F166" s="15" t="s">
        <v>606</v>
      </c>
      <c r="G166" s="15" t="str">
        <f t="shared" si="31"/>
        <v>Metal poles in entrances are clipped with walls</v>
      </c>
      <c r="H166" s="15" t="s">
        <v>605</v>
      </c>
      <c r="I166" s="15" t="s">
        <v>242</v>
      </c>
      <c r="J166" s="15" t="str">
        <f t="shared" si="32"/>
        <v>Metal poles in entrances are clipped with walls
*Location(s):*
Admin MovePlayer 341190.53 162893.30 762.81 0 340.88 179.37 0.00
Admin MovePlayer 336221.56 159033.42 762.81 0 336.18 348.33 0.00
Admin MovePlayer 346342.03 147760.06 762.81 0 331.51 282.39 0.00
Admin MovePlayer 347311.44 148854.33 898.82 0 309.37 290.96 0.00
Admin MovePlayer 342149.47 163787.94 762.81 0 328.32 183.45 0.00
Admin MovePlayer 336129.78 157975.91 762.81 0 328.84 167.14 0.00
*Expected Results:*
The clipping issue should be fixed</v>
      </c>
      <c r="K166" s="15" t="s">
        <v>626</v>
      </c>
      <c r="L166" s="23" t="str">
        <f t="shared" si="33"/>
        <v>https://jira.krafton.com/browse/PUBG-42255</v>
      </c>
    </row>
    <row r="167" spans="2:12" ht="89.25" x14ac:dyDescent="0.15">
      <c r="B167" s="24">
        <v>43888</v>
      </c>
      <c r="C167">
        <v>154</v>
      </c>
      <c r="D167" s="25" t="str">
        <f t="shared" si="29"/>
        <v>42256</v>
      </c>
      <c r="E167" s="25" t="str">
        <f t="shared" si="30"/>
        <v>DJ</v>
      </c>
      <c r="F167" s="15" t="s">
        <v>559</v>
      </c>
      <c r="G167" s="15" t="str">
        <f t="shared" si="31"/>
        <v>Target stand is clipped into wall</v>
      </c>
      <c r="H167" s="15" t="s">
        <v>558</v>
      </c>
      <c r="I167" s="15" t="s">
        <v>242</v>
      </c>
      <c r="J167" s="15" t="str">
        <f t="shared" si="32"/>
        <v>Target stand is clipped into wall
*Location(s):*
Admin MovePlayer 344672.13 157534.89 762.81 0 345.12 53.67 0.00
*Expected Results:*
The clipping issue should be fixed</v>
      </c>
      <c r="K167" s="15" t="s">
        <v>627</v>
      </c>
      <c r="L167" s="23" t="str">
        <f t="shared" si="33"/>
        <v>https://jira.krafton.com/browse/PUBG-42256</v>
      </c>
    </row>
    <row r="168" spans="2:12" ht="89.25" x14ac:dyDescent="0.15">
      <c r="B168" s="24">
        <v>43888</v>
      </c>
      <c r="C168">
        <v>155</v>
      </c>
      <c r="D168" s="25" t="str">
        <f t="shared" si="29"/>
        <v>42257</v>
      </c>
      <c r="E168" s="25" t="str">
        <f t="shared" si="30"/>
        <v>DJ</v>
      </c>
      <c r="F168" s="15" t="s">
        <v>564</v>
      </c>
      <c r="G168" s="15" t="str">
        <f t="shared" si="31"/>
        <v>LOD issue occurs on barrels</v>
      </c>
      <c r="H168" s="15" t="s">
        <v>563</v>
      </c>
      <c r="I168" s="15" t="s">
        <v>362</v>
      </c>
      <c r="J168" s="15" t="str">
        <f t="shared" si="32"/>
        <v>LOD issue occurs on barrels
*Location(s):*
Admin MovePlayer 335590.81 155636.28 764.75 0 356.03 54.17 0.00
*Expected Results:*
The LOD issue should be fixed</v>
      </c>
      <c r="K168" s="15" t="s">
        <v>628</v>
      </c>
      <c r="L168" s="23" t="str">
        <f t="shared" si="33"/>
        <v>https://jira.krafton.com/browse/PUBG-42257</v>
      </c>
    </row>
    <row r="169" spans="2:12" ht="89.25" x14ac:dyDescent="0.15">
      <c r="B169" s="24">
        <v>43888</v>
      </c>
      <c r="C169">
        <v>156</v>
      </c>
      <c r="D169" s="25" t="str">
        <f t="shared" si="29"/>
        <v>42259</v>
      </c>
      <c r="E169" s="25" t="str">
        <f t="shared" si="30"/>
        <v>DJ</v>
      </c>
      <c r="F169" s="15" t="s">
        <v>562</v>
      </c>
      <c r="G169" s="15" t="str">
        <f t="shared" si="31"/>
        <v>LOD issue occurs on truck</v>
      </c>
      <c r="H169" s="15" t="s">
        <v>561</v>
      </c>
      <c r="I169" s="15" t="s">
        <v>362</v>
      </c>
      <c r="J169" s="15" t="str">
        <f t="shared" si="32"/>
        <v>LOD issue occurs on truck
*Location(s):*
Admin MovePlayer 337750.03 154829.31 1139.37 0 348.36 92.28 0.00
*Expected Results:*
The LOD issue should be fixed</v>
      </c>
      <c r="K169" s="15" t="s">
        <v>629</v>
      </c>
      <c r="L169" s="23" t="str">
        <f t="shared" si="33"/>
        <v>https://jira.krafton.com/browse/PUBG-42259</v>
      </c>
    </row>
    <row r="170" spans="2:12" ht="127.5" x14ac:dyDescent="0.15">
      <c r="B170" s="24">
        <v>43888</v>
      </c>
      <c r="C170">
        <v>157</v>
      </c>
      <c r="D170" s="25" t="str">
        <f t="shared" si="29"/>
        <v>42260</v>
      </c>
      <c r="E170" s="25" t="str">
        <f t="shared" si="30"/>
        <v>DJ</v>
      </c>
      <c r="F170" s="15" t="s">
        <v>607</v>
      </c>
      <c r="G170" s="15" t="str">
        <f t="shared" si="31"/>
        <v>Concrete tower-shape object is floating a little over ground</v>
      </c>
      <c r="H170" s="15" t="s">
        <v>567</v>
      </c>
      <c r="I170" s="15" t="s">
        <v>341</v>
      </c>
      <c r="J170" s="15" t="str">
        <f t="shared" si="32"/>
        <v>Concrete tower-shape object is floating a little over ground
*Location(s):*
Admin MovePlayer 345302.38 157442.25 762.81 0 355.64 313.84 0.00
Admin MovePlayer 335598.28 155490.78 764.75 0 353.18 6.21 0.00
Admin MovePlayer 347595.53 163860.66 762.81 0 354.49 326.87 0.00
Admin MovePlayer 350153.50 160909.17 762.81 0 355.23 336.37 0.00
*Expected Results:*
The floating issue should be fixed</v>
      </c>
      <c r="K170" s="15" t="s">
        <v>630</v>
      </c>
      <c r="L170" s="23" t="str">
        <f t="shared" si="33"/>
        <v>https://jira.krafton.com/browse/PUBG-42260</v>
      </c>
    </row>
    <row r="171" spans="2:12" ht="89.25" x14ac:dyDescent="0.15">
      <c r="B171" s="24">
        <v>43888</v>
      </c>
      <c r="C171">
        <v>158</v>
      </c>
      <c r="D171" s="25" t="str">
        <f t="shared" ref="D171:D213" si="34">RIGHT(K171,5)</f>
        <v>42261</v>
      </c>
      <c r="E171" s="25" t="str">
        <f t="shared" ref="E171:E213" si="35">MID(F171,2,2)</f>
        <v>DJ</v>
      </c>
      <c r="F171" s="15" t="s">
        <v>566</v>
      </c>
      <c r="G171" s="15" t="str">
        <f t="shared" ref="G171:G213" si="36">RIGHT(F171,LEN(F171)-13)</f>
        <v>LOD issue occurs on Sand Box</v>
      </c>
      <c r="H171" s="15" t="s">
        <v>565</v>
      </c>
      <c r="I171" s="15" t="s">
        <v>362</v>
      </c>
      <c r="J171" s="15" t="str">
        <f t="shared" ref="J171:J213" si="37">CONCATENATE(G171,CHAR(10),CHAR(10),"*Location(s):*",CHAR(10),H171,CHAR(10),CHAR(10),"*Expected Results:*",CHAR(10),I171)</f>
        <v>LOD issue occurs on Sand Box
*Location(s):*
Admin MovePlayer 337734.50 154455.47 762.81 0 357.65 316.57 0.00
*Expected Results:*
The LOD issue should be fixed</v>
      </c>
      <c r="K171" s="15" t="s">
        <v>631</v>
      </c>
      <c r="L171" s="23" t="str">
        <f t="shared" ref="L171:L213" si="38">HYPERLINK(K171)</f>
        <v>https://jira.krafton.com/browse/PUBG-42261</v>
      </c>
    </row>
    <row r="172" spans="2:12" ht="153" x14ac:dyDescent="0.15">
      <c r="B172" s="24">
        <v>43888</v>
      </c>
      <c r="C172">
        <v>159</v>
      </c>
      <c r="D172" s="25" t="str">
        <f t="shared" si="34"/>
        <v>42262</v>
      </c>
      <c r="E172" s="25" t="str">
        <f t="shared" si="35"/>
        <v>DJ</v>
      </c>
      <c r="F172" s="15" t="s">
        <v>568</v>
      </c>
      <c r="G172" s="15" t="str">
        <f t="shared" si="36"/>
        <v>Grass is clipped into walls and buildings in Camp Bravo</v>
      </c>
      <c r="H172" s="15" t="s">
        <v>611</v>
      </c>
      <c r="I172" s="15" t="s">
        <v>242</v>
      </c>
      <c r="J172" s="15" t="str">
        <f t="shared" si="37"/>
        <v>Grass is clipped into walls and buildings in Camp Bravo
*Location(s):*
A few examples. See map file with issues marked.
Admin MovePlayer 342385.59 146625.27 762.81 0 336.73 84.79 0.00
Admin MovePlayer 347477.69 151598.61 790.83 0 321.22 294.03 0.00
Admin MovePlayer 351921.44 156677.89 762.81 0 329.63 297.58 0.00
Admin MovePlayer 346275.31 160151.39 762.81 0 330.14 223.78 0.00
Admin MovePlayer 345161.84 150979.45 762.81 0 338.34 194.74 0.00
*Expected Results:*
The clipping issue should be fixed</v>
      </c>
      <c r="K172" s="15" t="s">
        <v>632</v>
      </c>
      <c r="L172" s="23" t="str">
        <f t="shared" si="38"/>
        <v>https://jira.krafton.com/browse/PUBG-42262</v>
      </c>
    </row>
    <row r="173" spans="2:12" ht="140.25" x14ac:dyDescent="0.15">
      <c r="B173" s="24">
        <v>43888</v>
      </c>
      <c r="C173">
        <v>160</v>
      </c>
      <c r="D173" s="25" t="str">
        <f t="shared" si="34"/>
        <v>42263</v>
      </c>
      <c r="E173" s="25" t="str">
        <f t="shared" si="35"/>
        <v>DJ</v>
      </c>
      <c r="F173" s="15" t="s">
        <v>608</v>
      </c>
      <c r="G173" s="15" t="str">
        <f t="shared" si="36"/>
        <v>Green canvas on camp towers strangely turn black when it waves</v>
      </c>
      <c r="H173" s="15" t="s">
        <v>604</v>
      </c>
      <c r="I173" s="15" t="s">
        <v>262</v>
      </c>
      <c r="J173" s="15" t="str">
        <f t="shared" si="37"/>
        <v>Green canvas on camp towers strangely turn black when it waves
*Location(s):*
All towers in different Camps, for example:
Alpha: Admin MovePlayer 71213.17 169932.98 629.88 0 36.44 70.18 0.00
Bravo: Admin MovePlayer 353499.72 155304.52 762.03 0 31.49 61.61 0.00
Boot Camp: Admin MovePlayer 203159.52 201807.25 1015.94 0 35.48 5.63 0.00
*Expected Results:*
The Texture issue should be fixed</v>
      </c>
      <c r="K173" s="15" t="s">
        <v>633</v>
      </c>
      <c r="L173" s="23" t="str">
        <f t="shared" si="38"/>
        <v>https://jira.krafton.com/browse/PUBG-42263</v>
      </c>
    </row>
    <row r="174" spans="2:12" ht="89.25" x14ac:dyDescent="0.15">
      <c r="B174" s="24">
        <v>43889</v>
      </c>
      <c r="C174">
        <v>161</v>
      </c>
      <c r="D174" s="25" t="str">
        <f t="shared" si="34"/>
        <v>42409</v>
      </c>
      <c r="E174" s="25" t="str">
        <f t="shared" si="35"/>
        <v>DJ</v>
      </c>
      <c r="F174" s="15" t="s">
        <v>635</v>
      </c>
      <c r="G174" s="15" t="str">
        <f t="shared" si="36"/>
        <v>LOD issue occurs on house</v>
      </c>
      <c r="H174" s="15" t="s">
        <v>634</v>
      </c>
      <c r="I174" s="15" t="s">
        <v>362</v>
      </c>
      <c r="J174" s="15" t="str">
        <f t="shared" si="37"/>
        <v>LOD issue occurs on house
*Location(s):*
Admin MovePlayer 328182.72 195484.69 4847.04 0 348.15 327.94 0.00
*Expected Results:*
The LOD issue should be fixed</v>
      </c>
      <c r="K174" s="15" t="s">
        <v>648</v>
      </c>
      <c r="L174" s="23" t="str">
        <f t="shared" si="38"/>
        <v>https://jira.krafton.com/browse/PUBG-42409</v>
      </c>
    </row>
    <row r="175" spans="2:12" ht="89.25" x14ac:dyDescent="0.15">
      <c r="B175" s="24">
        <v>43889</v>
      </c>
      <c r="C175">
        <v>162</v>
      </c>
      <c r="D175" s="25" t="str">
        <f t="shared" si="34"/>
        <v>42410</v>
      </c>
      <c r="E175" s="25" t="str">
        <f t="shared" si="35"/>
        <v>DJ</v>
      </c>
      <c r="F175" s="15" t="s">
        <v>636</v>
      </c>
      <c r="G175" s="15" t="str">
        <f t="shared" si="36"/>
        <v>LOD issue occurs on big pot</v>
      </c>
      <c r="H175" s="15" t="s">
        <v>637</v>
      </c>
      <c r="I175" s="15" t="s">
        <v>362</v>
      </c>
      <c r="J175" s="15" t="str">
        <f t="shared" si="37"/>
        <v>LOD issue occurs on big pot
*Location(s):*
Admin MovePlayer 349663.91 175286.45 727.73 0 353.60 8.19 0.00
*Expected Results:*
The LOD issue should be fixed</v>
      </c>
      <c r="K175" s="15" t="s">
        <v>649</v>
      </c>
      <c r="L175" s="23" t="str">
        <f t="shared" si="38"/>
        <v>https://jira.krafton.com/browse/PUBG-42410</v>
      </c>
    </row>
    <row r="176" spans="2:12" ht="89.25" x14ac:dyDescent="0.15">
      <c r="B176" s="24">
        <v>43889</v>
      </c>
      <c r="C176">
        <v>163</v>
      </c>
      <c r="D176" s="25" t="str">
        <f t="shared" si="34"/>
        <v>42411</v>
      </c>
      <c r="E176" s="25" t="str">
        <f t="shared" si="35"/>
        <v>DJ</v>
      </c>
      <c r="F176" s="15" t="s">
        <v>638</v>
      </c>
      <c r="G176" s="15" t="str">
        <f t="shared" si="36"/>
        <v>LOD issue occurs on cooking pot</v>
      </c>
      <c r="H176" s="15" t="s">
        <v>639</v>
      </c>
      <c r="I176" s="15" t="s">
        <v>362</v>
      </c>
      <c r="J176" s="15" t="str">
        <f t="shared" si="37"/>
        <v>LOD issue occurs on cooking pot
*Location(s):*
Admin MovePlayer 351737.75 174776.16 744.14 0 349.05 343.51 0.00
*Expected Results:*
The LOD issue should be fixed</v>
      </c>
      <c r="K176" s="15" t="s">
        <v>650</v>
      </c>
      <c r="L176" s="23" t="str">
        <f t="shared" si="38"/>
        <v>https://jira.krafton.com/browse/PUBG-42411</v>
      </c>
    </row>
    <row r="177" spans="2:12" ht="89.25" x14ac:dyDescent="0.15">
      <c r="B177" s="24">
        <v>43889</v>
      </c>
      <c r="C177">
        <v>164</v>
      </c>
      <c r="D177" s="25" t="str">
        <f t="shared" si="34"/>
        <v>42412</v>
      </c>
      <c r="E177" s="25" t="str">
        <f t="shared" si="35"/>
        <v>DJ</v>
      </c>
      <c r="F177" s="15" t="s">
        <v>640</v>
      </c>
      <c r="G177" s="15" t="str">
        <f t="shared" si="36"/>
        <v>Pots are floating over shelf</v>
      </c>
      <c r="H177" s="15" t="s">
        <v>641</v>
      </c>
      <c r="I177" s="15" t="s">
        <v>341</v>
      </c>
      <c r="J177" s="15" t="str">
        <f t="shared" si="37"/>
        <v>Pots are floating over shelf
*Location(s):*
Admin MovePlayer 351824.78 174335.31 711.37 0 355.63 44.10 0.00
*Expected Results:*
The floating issue should be fixed</v>
      </c>
      <c r="K177" s="15" t="s">
        <v>651</v>
      </c>
      <c r="L177" s="23" t="str">
        <f t="shared" si="38"/>
        <v>https://jira.krafton.com/browse/PUBG-42412</v>
      </c>
    </row>
    <row r="178" spans="2:12" ht="102" x14ac:dyDescent="0.15">
      <c r="B178" s="24">
        <v>43889</v>
      </c>
      <c r="C178">
        <v>165</v>
      </c>
      <c r="D178" s="25" t="str">
        <f t="shared" si="34"/>
        <v>42414</v>
      </c>
      <c r="E178" s="25" t="str">
        <f t="shared" si="35"/>
        <v>DJ</v>
      </c>
      <c r="F178" s="15" t="s">
        <v>643</v>
      </c>
      <c r="G178" s="15" t="str">
        <f t="shared" si="36"/>
        <v>Player movement is blocked by lower edge of thatch roof</v>
      </c>
      <c r="H178" s="15" t="s">
        <v>642</v>
      </c>
      <c r="I178" s="15" t="s">
        <v>644</v>
      </c>
      <c r="J178" s="15" t="str">
        <f t="shared" si="37"/>
        <v>Player movement is blocked by lower edge of thatch roof
*Location(s):*
Admin MovePlayer 351725.97 181199.70 1114.33 0 348.66 62.36 0.00
*Expected Results:*
The player should not be blocked from moving out of the area under the roof. The House could be lifted a bit higher, or the collision of the roof can be a bit smaller.</v>
      </c>
      <c r="K178" s="15" t="s">
        <v>652</v>
      </c>
      <c r="L178" s="23" t="str">
        <f t="shared" si="38"/>
        <v>https://jira.krafton.com/browse/PUBG-42414</v>
      </c>
    </row>
    <row r="179" spans="2:12" ht="331.5" x14ac:dyDescent="0.15">
      <c r="B179" s="24">
        <v>43889</v>
      </c>
      <c r="C179">
        <v>166</v>
      </c>
      <c r="D179" s="25" t="str">
        <f t="shared" si="34"/>
        <v>42416</v>
      </c>
      <c r="E179" s="25" t="str">
        <f t="shared" si="35"/>
        <v>DJ</v>
      </c>
      <c r="F179" s="15" t="s">
        <v>653</v>
      </c>
      <c r="G179" s="15" t="str">
        <f t="shared" si="36"/>
        <v>Frames leaning on walls are clipped with walls in buildings around Camp Bravo</v>
      </c>
      <c r="H179" s="15" t="s">
        <v>646</v>
      </c>
      <c r="I179" s="15" t="s">
        <v>242</v>
      </c>
      <c r="J179" s="15" t="str">
        <f t="shared" si="37"/>
        <v>Frames leaning on walls are clipped with walls in buildings around Camp Bravo
*Location(s):*
Admin MovePlayer 343500.53 148641.61 790.15 0 337.01 228.88 0.00
Admin MovePlayer 340631.81 151031.91 800.15 0 338.67 223.57 0.00
Admin MovePlayer 339655.66 152176.06 790.15 0 338.77 303.72 0.00
Admin MovePlayer 337310.66 154992.42 790.15 0 339.12 305.99 0.00
Admin MovePlayer 341063.31 158428.94 805.05 0 339.40 318.45 0.00
Admin MovePlayer 349392.94 154030.66 790.20 0 343.66 234.34 0.00
Admin MovePlayer 346985.34 156398.25 790.15 0 338.78 217.72 0.00
Admin MovePlayer 345007.13 158505.42 790.15 0 347.93 328.35 0.00
Admin MovePlayer 342624.06 160874.70 790.15 0 344.65 321.69 0.00
Admin MovePlayer 344821.75 162576.61 790.15 0 347.65 307.88 0.00
Admin MovePlayer 347692.25 160220.67 800.15 0 350.59 49.76 0.00
Admin MovePlayer 348779.97 159127.81 800.15 0 342.83 133.25 0.00
Admin MovePlayer 351112.78 156278.14 790.15 0 344.44 139.81 0.00
*Expected Results:*
The clipping issue should be fixed</v>
      </c>
      <c r="K179" s="23" t="s">
        <v>656</v>
      </c>
      <c r="L179" s="23" t="str">
        <f t="shared" si="38"/>
        <v>https://jira.krafton.com/browse/PUBG-42416</v>
      </c>
    </row>
    <row r="180" spans="2:12" ht="409.5" x14ac:dyDescent="0.15">
      <c r="B180" s="24">
        <v>43889</v>
      </c>
      <c r="C180">
        <v>167</v>
      </c>
      <c r="D180" s="25" t="str">
        <f t="shared" si="34"/>
        <v>42417</v>
      </c>
      <c r="E180" s="25" t="str">
        <f t="shared" si="35"/>
        <v>DJ</v>
      </c>
      <c r="F180" s="15" t="s">
        <v>654</v>
      </c>
      <c r="G180" s="15" t="str">
        <f t="shared" si="36"/>
        <v>Wood beams leaning on walls are clipped with walls in buildings around Camp Bravo</v>
      </c>
      <c r="H180" s="15" t="s">
        <v>645</v>
      </c>
      <c r="I180" s="15" t="s">
        <v>242</v>
      </c>
      <c r="J180" s="15" t="str">
        <f t="shared" si="37"/>
        <v>Wood beams leaning on walls are clipped with walls in buildings around Camp Bravo
*Location(s):*
Admin MovePlayer 343941.31 148557.47 790.15 0 3.42 25.54 0.00
Admin MovePlayer 340987.50 151213.95 800.15 0 5.78 351.10 0.00
Admin MovePlayer 339396.75 152518.33 790.15 0 2.91 73.88 0.00
Admin MovePlayer 338580.88 152969.66 788.38 0 357.72 109.68 0.00
Admin MovePlayer 337065.81 155301.84 790.15 0 358.99 71.01 0.00
Admin MovePlayer 343092.22 149969.08 790.15 0 358.89 139.52 0.00
Admin MovePlayer 344055.25 152225.47 790.83 0 357.31 329.95 0.00
Admin MovePlayer 344964.91 151425.83 790.83 0 353.63 46.07 0.00
Admin MovePlayer 347461.69 151395.05 790.83 0 351.31 47.48 0.00
Admin MovePlayer 346466.06 152232.41 790.83 0 352.37 320.87 0.00
Admin MovePlayer 342012.47 156158.91 790.83 0 349.04 145.42 0.00
Admin MovePlayer 341135.91 155190.16 790.83 0 354.48 36.58 0.00
Admin MovePlayer 340621.66 156952.50 790.83 0 357.64 50.82 0.00
Admin MovePlayer 339710.75 157813.53 790.83 0 353.06 314.93 0.00
Admin MovePlayer 340979.84 149566.72 798.39 0 353.51 267.33 0.00
Admin MovePlayer 337247.84 158440.00 812.81 0 4.60 230.38 0.00
Admin MovePlayer 340931.88 158773.91 805.05 0 4.50 79.95 0.00
Admin MovePlayer 343115.84 156655.38 788.38 0 352.29 282.73 0.00
Admin MovePlayer 345615.44 154988.80 788.38 0 356.22 88.08 0.00
Admin MovePlayer 347314.56 153807.64 790.15 0 5.27 188.45 0.00
Admin MovePlayer 349760.16 154219.00 790.20 0 5.39 342.07 0.00
Admin MovePlayer 347376.50 156651.66 790.15 0 6.71 338.86 0.00
Admin MovePlayer 344908.75 158835.83 790.15 0 6.48 89.60 0.00
Admin MovePlayer 342461.88 161191.19 790.15 0 3.96 82.68 0.00
Admin MovePlayer 341231.97 162210.78 812.81 0 2.70 232.10 0.00
Admin MovePlayer 345253.84 161349.33 790.15 0 2.71 324.02 0.00
Admin MovePlayer 344635.09 162879.45 790.15 0 3.68 78.00 0.00
Admin MovePlayer 347410.75 161641.41 798.38 0 359.40 98.52 0.00
Admin MovePlayer 347392.53 160140.13 800.15 0 2.24 182.29 0.00
Admin MovePlayer 348974.25 158825.88 800.15 0 4.35 258.47 0.00
Admin MovePlayer 349837.13 158379.63 798.39 0 355.98 271.84 0.00
Admin MovePlayer 349936.88 156705.72 790.15 0 1.88 328.91 0.00
Admin MovePlayer 351299.56 156021.52 790.15 0 358.50 254.85 0.00
*Expected Results:*
The clipping issue should be fixed</v>
      </c>
      <c r="K180" s="15" t="s">
        <v>655</v>
      </c>
      <c r="L180" s="23" t="str">
        <f t="shared" si="38"/>
        <v>https://jira.krafton.com/browse/PUBG-42417</v>
      </c>
    </row>
    <row r="181" spans="2:12" ht="331.5" x14ac:dyDescent="0.15">
      <c r="B181" s="24">
        <v>43889</v>
      </c>
      <c r="C181">
        <v>168</v>
      </c>
      <c r="D181" s="25" t="str">
        <f t="shared" si="34"/>
        <v>42428</v>
      </c>
      <c r="E181" s="25" t="str">
        <f t="shared" si="35"/>
        <v>DJ</v>
      </c>
      <c r="F181" s="15" t="s">
        <v>657</v>
      </c>
      <c r="G181" s="15" t="s">
        <v>659</v>
      </c>
      <c r="H181" s="15" t="s">
        <v>658</v>
      </c>
      <c r="I181" s="15" t="s">
        <v>660</v>
      </c>
      <c r="J181" s="15" t="str">
        <f t="shared" si="37"/>
        <v>Concrete tubes are clipped into ground in Camp Bravo. 
In most cases there is grass clipped through the concrete. When there is no grass, the intersection of the tube and ground looks very sharp without any transitions and feels unnatural.
*Location(s):*
Admin MovePlayer 334240.81 155797.84 762.81 0 338.86 349.82 0.00
Admin MovePlayer 340664.00 161363.69 762.81 0 328.71 331.67 0.00
Admin MovePlayer 343891.38 164412.38 762.81 0 329.62 350.12 0.00
Admin MovePlayer 345623.94 163291.86 762.81 0 329.01 358.58 0.00
Admin MovePlayer 348701.47 163077.83 762.81 0 334.00 22.63 0.00
Admin MovePlayer 351709.47 160574.11 762.81 0 322.76 306.92 0.00
Admin MovePlayer 353632.75 155902.97 762.81 0 328.50 226.30 0.00
Admin MovePlayer 350656.41 152764.50 762.81 0 336.11 198.22 0.00
Admin MovePlayer 347705.50 149349.31 762.81 0 330.21 163.43 0.00
Admin MovePlayer 344411.31 146343.61 762.81 0 339.14 92.70 0.00
Admin MovePlayer 341963.06 148147.23 762.70 0 341.66 356.47 0.00
Admin MovePlayer 339502.09 147420.50 762.81 0 326.38 82.88 0.00
Admin MovePlayer 335957.38 150543.72 762.81 0 330.01 38.67 0.00
*Expected Results:*
The tube/ground intersection should look natural without clipping issue.
The tubes can be simply lifted up so it's tunnel higher than ground.</v>
      </c>
      <c r="K181" s="15" t="s">
        <v>661</v>
      </c>
      <c r="L181" s="23" t="str">
        <f t="shared" si="38"/>
        <v>https://jira.krafton.com/browse/PUBG-42428</v>
      </c>
    </row>
    <row r="182" spans="2:12" ht="89.25" x14ac:dyDescent="0.15">
      <c r="B182" s="24">
        <v>43889</v>
      </c>
      <c r="C182">
        <v>169</v>
      </c>
      <c r="D182" s="25" t="str">
        <f t="shared" si="34"/>
        <v>42432</v>
      </c>
      <c r="E182" s="25" t="str">
        <f t="shared" si="35"/>
        <v>DJ</v>
      </c>
      <c r="F182" s="15" t="s">
        <v>663</v>
      </c>
      <c r="G182" s="15" t="str">
        <f t="shared" si="36"/>
        <v>Thick vines has no decals when shot at</v>
      </c>
      <c r="H182" s="15" t="s">
        <v>662</v>
      </c>
      <c r="I182" s="15" t="s">
        <v>246</v>
      </c>
      <c r="J182" s="15" t="str">
        <f t="shared" si="37"/>
        <v>Thick vines has no decals when shot at
*Location(s):*
Admin MovePlayer 343476.25 152962.69 762.81 0 3.11 325.27 0.00
*Expected Results:*
The item should have proper decals when shot at</v>
      </c>
      <c r="K182" s="15" t="s">
        <v>664</v>
      </c>
      <c r="L182" s="23" t="str">
        <f t="shared" si="38"/>
        <v>https://jira.krafton.com/browse/PUBG-42432</v>
      </c>
    </row>
    <row r="183" spans="2:12" ht="89.25" x14ac:dyDescent="0.15">
      <c r="B183" s="24">
        <v>43889</v>
      </c>
      <c r="C183">
        <v>170</v>
      </c>
      <c r="D183" s="25" t="str">
        <f t="shared" si="34"/>
        <v>42436</v>
      </c>
      <c r="E183" s="25" t="str">
        <f t="shared" si="35"/>
        <v>CJ</v>
      </c>
      <c r="F183" s="15" t="s">
        <v>667</v>
      </c>
      <c r="G183" s="15" t="str">
        <f t="shared" si="36"/>
        <v>LOD issue occurs on wood shelves</v>
      </c>
      <c r="H183" s="15" t="s">
        <v>665</v>
      </c>
      <c r="I183" s="15" t="s">
        <v>362</v>
      </c>
      <c r="J183" s="15" t="str">
        <f t="shared" si="37"/>
        <v>LOD issue occurs on wood shelves
*Location(s):*
Admin MovePlayer 229388.94 152223.77 1230.00 0 349.01 67.34 0.00
*Expected Results:*
The LOD issue should be fixed</v>
      </c>
      <c r="K183" s="15" t="s">
        <v>671</v>
      </c>
      <c r="L183" s="23" t="str">
        <f t="shared" si="38"/>
        <v>https://jira.krafton.com/browse/PUBG-42436</v>
      </c>
    </row>
    <row r="184" spans="2:12" ht="89.25" x14ac:dyDescent="0.15">
      <c r="B184" s="24">
        <v>43889</v>
      </c>
      <c r="C184">
        <v>171</v>
      </c>
      <c r="D184" s="25" t="str">
        <f t="shared" si="34"/>
        <v>42437</v>
      </c>
      <c r="E184" s="25" t="str">
        <f t="shared" si="35"/>
        <v>CJ</v>
      </c>
      <c r="F184" s="15" t="s">
        <v>668</v>
      </c>
      <c r="G184" s="15" t="str">
        <f t="shared" si="36"/>
        <v>Flowerpot has not bullet hole decay when shot at</v>
      </c>
      <c r="H184" s="15" t="s">
        <v>666</v>
      </c>
      <c r="I184" s="15" t="s">
        <v>246</v>
      </c>
      <c r="J184" s="15" t="str">
        <f t="shared" si="37"/>
        <v>Flowerpot has not bullet hole decay when shot at
*Location(s):*
Admin MovePlayer 248695.77 144594.69 4153.93 0 343.53 112.10 0.00
*Expected Results:*
The item should have proper decals when shot at</v>
      </c>
      <c r="K184" s="15" t="s">
        <v>672</v>
      </c>
      <c r="L184" s="23" t="str">
        <f t="shared" si="38"/>
        <v>https://jira.krafton.com/browse/PUBG-42437</v>
      </c>
    </row>
    <row r="185" spans="2:12" ht="89.25" x14ac:dyDescent="0.15">
      <c r="B185" s="24">
        <v>43889</v>
      </c>
      <c r="C185">
        <v>172</v>
      </c>
      <c r="D185" s="25" t="str">
        <f t="shared" si="34"/>
        <v>42438</v>
      </c>
      <c r="E185" s="25" t="str">
        <f t="shared" si="35"/>
        <v>CJ</v>
      </c>
      <c r="F185" s="15" t="s">
        <v>669</v>
      </c>
      <c r="G185" s="15" t="str">
        <f t="shared" si="36"/>
        <v>Telephone has not bullet hole decay when shot at</v>
      </c>
      <c r="H185" s="15" t="s">
        <v>670</v>
      </c>
      <c r="I185" s="15" t="s">
        <v>362</v>
      </c>
      <c r="J185" s="15" t="str">
        <f t="shared" si="37"/>
        <v>Telephone has not bullet hole decay when shot at
*Location(s):*
Admin MovePlayer 249333.03 144200.75 4153.93 0 321.84 265.22 0.00
*Expected Results:*
The LOD issue should be fixed</v>
      </c>
      <c r="K185" s="15" t="s">
        <v>673</v>
      </c>
      <c r="L185" s="23" t="str">
        <f t="shared" si="38"/>
        <v>https://jira.krafton.com/browse/PUBG-42438</v>
      </c>
    </row>
    <row r="186" spans="2:12" ht="13.5" x14ac:dyDescent="0.15">
      <c r="C186">
        <v>173</v>
      </c>
      <c r="D186" s="25" t="str">
        <f t="shared" si="34"/>
        <v/>
      </c>
      <c r="E186" s="25" t="str">
        <f t="shared" si="35"/>
        <v/>
      </c>
      <c r="G186" s="15" t="e">
        <f t="shared" si="36"/>
        <v>#VALUE!</v>
      </c>
      <c r="I186" s="15" t="s">
        <v>362</v>
      </c>
      <c r="J186" s="15" t="e">
        <f t="shared" si="37"/>
        <v>#VALUE!</v>
      </c>
      <c r="L186" s="23" t="str">
        <f t="shared" si="38"/>
        <v/>
      </c>
    </row>
    <row r="187" spans="2:12" ht="13.5" x14ac:dyDescent="0.15">
      <c r="C187">
        <v>174</v>
      </c>
      <c r="D187" s="25" t="str">
        <f t="shared" si="34"/>
        <v/>
      </c>
      <c r="E187" s="25" t="str">
        <f t="shared" si="35"/>
        <v/>
      </c>
      <c r="G187" s="15" t="e">
        <f t="shared" si="36"/>
        <v>#VALUE!</v>
      </c>
      <c r="I187" s="15" t="s">
        <v>362</v>
      </c>
      <c r="J187" s="15" t="e">
        <f t="shared" si="37"/>
        <v>#VALUE!</v>
      </c>
      <c r="L187" s="23" t="str">
        <f t="shared" si="38"/>
        <v/>
      </c>
    </row>
    <row r="188" spans="2:12" ht="13.5" x14ac:dyDescent="0.15">
      <c r="C188">
        <v>175</v>
      </c>
      <c r="D188" s="25" t="str">
        <f t="shared" si="34"/>
        <v/>
      </c>
      <c r="E188" s="25" t="str">
        <f t="shared" si="35"/>
        <v/>
      </c>
      <c r="G188" s="15" t="e">
        <f t="shared" si="36"/>
        <v>#VALUE!</v>
      </c>
      <c r="I188" s="15" t="s">
        <v>362</v>
      </c>
      <c r="J188" s="15" t="e">
        <f t="shared" si="37"/>
        <v>#VALUE!</v>
      </c>
      <c r="L188" s="23" t="str">
        <f t="shared" si="38"/>
        <v/>
      </c>
    </row>
    <row r="189" spans="2:12" ht="13.5" x14ac:dyDescent="0.15">
      <c r="C189">
        <v>176</v>
      </c>
      <c r="D189" s="25" t="str">
        <f t="shared" si="34"/>
        <v/>
      </c>
      <c r="E189" s="25" t="str">
        <f t="shared" si="35"/>
        <v/>
      </c>
      <c r="G189" s="15" t="e">
        <f t="shared" si="36"/>
        <v>#VALUE!</v>
      </c>
      <c r="I189" s="15" t="s">
        <v>362</v>
      </c>
      <c r="J189" s="15" t="e">
        <f t="shared" si="37"/>
        <v>#VALUE!</v>
      </c>
      <c r="L189" s="23" t="str">
        <f t="shared" si="38"/>
        <v/>
      </c>
    </row>
    <row r="190" spans="2:12" ht="13.5" x14ac:dyDescent="0.15">
      <c r="C190">
        <v>177</v>
      </c>
      <c r="D190" s="25" t="str">
        <f t="shared" si="34"/>
        <v/>
      </c>
      <c r="E190" s="25" t="str">
        <f t="shared" si="35"/>
        <v/>
      </c>
      <c r="G190" s="15" t="e">
        <f t="shared" si="36"/>
        <v>#VALUE!</v>
      </c>
      <c r="I190" s="15" t="s">
        <v>362</v>
      </c>
      <c r="J190" s="15" t="e">
        <f t="shared" si="37"/>
        <v>#VALUE!</v>
      </c>
      <c r="L190" s="23" t="str">
        <f t="shared" si="38"/>
        <v/>
      </c>
    </row>
    <row r="191" spans="2:12" ht="13.5" x14ac:dyDescent="0.15">
      <c r="C191">
        <v>178</v>
      </c>
      <c r="D191" s="25" t="str">
        <f t="shared" si="34"/>
        <v/>
      </c>
      <c r="E191" s="25" t="str">
        <f t="shared" si="35"/>
        <v/>
      </c>
      <c r="G191" s="15" t="e">
        <f t="shared" si="36"/>
        <v>#VALUE!</v>
      </c>
      <c r="I191" s="15" t="s">
        <v>362</v>
      </c>
      <c r="J191" s="15" t="e">
        <f t="shared" si="37"/>
        <v>#VALUE!</v>
      </c>
      <c r="L191" s="23" t="str">
        <f t="shared" si="38"/>
        <v/>
      </c>
    </row>
    <row r="192" spans="2:12" ht="13.5" x14ac:dyDescent="0.15">
      <c r="C192">
        <v>179</v>
      </c>
      <c r="D192" s="25" t="str">
        <f t="shared" si="34"/>
        <v/>
      </c>
      <c r="E192" s="25" t="str">
        <f t="shared" si="35"/>
        <v/>
      </c>
      <c r="G192" s="15" t="e">
        <f t="shared" si="36"/>
        <v>#VALUE!</v>
      </c>
      <c r="I192" s="15" t="s">
        <v>362</v>
      </c>
      <c r="J192" s="15" t="e">
        <f t="shared" si="37"/>
        <v>#VALUE!</v>
      </c>
      <c r="L192" s="23" t="str">
        <f t="shared" si="38"/>
        <v/>
      </c>
    </row>
    <row r="193" spans="3:12" ht="13.5" x14ac:dyDescent="0.15">
      <c r="C193">
        <v>180</v>
      </c>
      <c r="D193" s="25" t="str">
        <f t="shared" si="34"/>
        <v/>
      </c>
      <c r="E193" s="25" t="str">
        <f t="shared" si="35"/>
        <v/>
      </c>
      <c r="G193" s="15" t="e">
        <f t="shared" si="36"/>
        <v>#VALUE!</v>
      </c>
      <c r="I193" s="15" t="s">
        <v>362</v>
      </c>
      <c r="J193" s="15" t="e">
        <f t="shared" si="37"/>
        <v>#VALUE!</v>
      </c>
      <c r="L193" s="23" t="str">
        <f t="shared" si="38"/>
        <v/>
      </c>
    </row>
    <row r="194" spans="3:12" ht="13.5" x14ac:dyDescent="0.15">
      <c r="C194">
        <v>181</v>
      </c>
      <c r="D194" s="25" t="str">
        <f t="shared" si="34"/>
        <v/>
      </c>
      <c r="E194" s="25" t="str">
        <f t="shared" si="35"/>
        <v/>
      </c>
      <c r="G194" s="15" t="e">
        <f t="shared" si="36"/>
        <v>#VALUE!</v>
      </c>
      <c r="I194" s="15" t="s">
        <v>362</v>
      </c>
      <c r="J194" s="15" t="e">
        <f t="shared" si="37"/>
        <v>#VALUE!</v>
      </c>
      <c r="L194" s="23" t="str">
        <f t="shared" si="38"/>
        <v/>
      </c>
    </row>
    <row r="195" spans="3:12" ht="13.5" x14ac:dyDescent="0.15">
      <c r="C195">
        <v>182</v>
      </c>
      <c r="D195" s="25" t="str">
        <f t="shared" si="34"/>
        <v/>
      </c>
      <c r="E195" s="25" t="str">
        <f t="shared" si="35"/>
        <v/>
      </c>
      <c r="G195" s="15" t="e">
        <f t="shared" si="36"/>
        <v>#VALUE!</v>
      </c>
      <c r="I195" s="15" t="s">
        <v>362</v>
      </c>
      <c r="J195" s="15" t="e">
        <f t="shared" si="37"/>
        <v>#VALUE!</v>
      </c>
      <c r="L195" s="23" t="str">
        <f t="shared" si="38"/>
        <v/>
      </c>
    </row>
    <row r="196" spans="3:12" ht="13.5" x14ac:dyDescent="0.15">
      <c r="C196">
        <v>183</v>
      </c>
      <c r="D196" s="25" t="str">
        <f t="shared" si="34"/>
        <v/>
      </c>
      <c r="E196" s="25" t="str">
        <f t="shared" si="35"/>
        <v/>
      </c>
      <c r="G196" s="15" t="e">
        <f t="shared" si="36"/>
        <v>#VALUE!</v>
      </c>
      <c r="J196" s="15" t="e">
        <f t="shared" si="37"/>
        <v>#VALUE!</v>
      </c>
      <c r="L196" s="23" t="str">
        <f t="shared" si="38"/>
        <v/>
      </c>
    </row>
    <row r="197" spans="3:12" ht="13.5" x14ac:dyDescent="0.15">
      <c r="C197">
        <v>184</v>
      </c>
      <c r="D197" s="25" t="str">
        <f t="shared" si="34"/>
        <v/>
      </c>
      <c r="E197" s="25" t="str">
        <f t="shared" si="35"/>
        <v/>
      </c>
      <c r="G197" s="15" t="e">
        <f t="shared" si="36"/>
        <v>#VALUE!</v>
      </c>
      <c r="J197" s="15" t="e">
        <f t="shared" si="37"/>
        <v>#VALUE!</v>
      </c>
      <c r="L197" s="23" t="str">
        <f t="shared" si="38"/>
        <v/>
      </c>
    </row>
    <row r="198" spans="3:12" ht="13.5" x14ac:dyDescent="0.15">
      <c r="C198">
        <v>185</v>
      </c>
      <c r="D198" s="25" t="str">
        <f t="shared" si="34"/>
        <v/>
      </c>
      <c r="E198" s="25" t="str">
        <f t="shared" si="35"/>
        <v/>
      </c>
      <c r="G198" s="15" t="e">
        <f t="shared" si="36"/>
        <v>#VALUE!</v>
      </c>
      <c r="J198" s="15" t="e">
        <f t="shared" si="37"/>
        <v>#VALUE!</v>
      </c>
      <c r="L198" s="23" t="str">
        <f t="shared" si="38"/>
        <v/>
      </c>
    </row>
    <row r="199" spans="3:12" ht="13.5" x14ac:dyDescent="0.15">
      <c r="C199">
        <v>186</v>
      </c>
      <c r="D199" s="25" t="str">
        <f t="shared" si="34"/>
        <v/>
      </c>
      <c r="E199" s="25" t="str">
        <f t="shared" si="35"/>
        <v/>
      </c>
      <c r="G199" s="15" t="e">
        <f t="shared" si="36"/>
        <v>#VALUE!</v>
      </c>
      <c r="J199" s="15" t="e">
        <f t="shared" si="37"/>
        <v>#VALUE!</v>
      </c>
      <c r="L199" s="23" t="str">
        <f t="shared" si="38"/>
        <v/>
      </c>
    </row>
    <row r="200" spans="3:12" ht="13.5" x14ac:dyDescent="0.15">
      <c r="C200">
        <v>187</v>
      </c>
      <c r="D200" s="25" t="str">
        <f t="shared" si="34"/>
        <v/>
      </c>
      <c r="E200" s="25" t="str">
        <f t="shared" si="35"/>
        <v/>
      </c>
      <c r="G200" s="15" t="e">
        <f t="shared" si="36"/>
        <v>#VALUE!</v>
      </c>
      <c r="J200" s="15" t="e">
        <f t="shared" si="37"/>
        <v>#VALUE!</v>
      </c>
      <c r="L200" s="23" t="str">
        <f t="shared" si="38"/>
        <v/>
      </c>
    </row>
    <row r="201" spans="3:12" ht="13.5" x14ac:dyDescent="0.15">
      <c r="C201">
        <v>188</v>
      </c>
      <c r="D201" s="25" t="str">
        <f t="shared" si="34"/>
        <v/>
      </c>
      <c r="E201" s="25" t="str">
        <f t="shared" si="35"/>
        <v/>
      </c>
      <c r="G201" s="15" t="e">
        <f t="shared" si="36"/>
        <v>#VALUE!</v>
      </c>
      <c r="J201" s="15" t="e">
        <f t="shared" si="37"/>
        <v>#VALUE!</v>
      </c>
      <c r="L201" s="23" t="str">
        <f t="shared" si="38"/>
        <v/>
      </c>
    </row>
    <row r="202" spans="3:12" ht="13.5" x14ac:dyDescent="0.15">
      <c r="C202">
        <v>189</v>
      </c>
      <c r="D202" s="25" t="str">
        <f t="shared" si="34"/>
        <v/>
      </c>
      <c r="E202" s="25" t="str">
        <f t="shared" si="35"/>
        <v/>
      </c>
      <c r="G202" s="15" t="e">
        <f t="shared" si="36"/>
        <v>#VALUE!</v>
      </c>
      <c r="J202" s="15" t="e">
        <f t="shared" si="37"/>
        <v>#VALUE!</v>
      </c>
      <c r="L202" s="23" t="str">
        <f t="shared" si="38"/>
        <v/>
      </c>
    </row>
    <row r="203" spans="3:12" ht="13.5" x14ac:dyDescent="0.15">
      <c r="C203">
        <v>190</v>
      </c>
      <c r="D203" s="25" t="str">
        <f t="shared" si="34"/>
        <v/>
      </c>
      <c r="E203" s="25" t="str">
        <f t="shared" si="35"/>
        <v/>
      </c>
      <c r="G203" s="15" t="e">
        <f t="shared" si="36"/>
        <v>#VALUE!</v>
      </c>
      <c r="J203" s="15" t="e">
        <f t="shared" si="37"/>
        <v>#VALUE!</v>
      </c>
      <c r="L203" s="23" t="str">
        <f t="shared" si="38"/>
        <v/>
      </c>
    </row>
    <row r="204" spans="3:12" ht="13.5" x14ac:dyDescent="0.15">
      <c r="C204">
        <v>191</v>
      </c>
      <c r="D204" s="25" t="str">
        <f t="shared" si="34"/>
        <v/>
      </c>
      <c r="E204" s="25" t="str">
        <f t="shared" si="35"/>
        <v/>
      </c>
      <c r="G204" s="15" t="e">
        <f t="shared" si="36"/>
        <v>#VALUE!</v>
      </c>
      <c r="J204" s="15" t="e">
        <f t="shared" si="37"/>
        <v>#VALUE!</v>
      </c>
      <c r="L204" s="23" t="str">
        <f t="shared" si="38"/>
        <v/>
      </c>
    </row>
    <row r="205" spans="3:12" ht="13.5" x14ac:dyDescent="0.15">
      <c r="C205">
        <v>192</v>
      </c>
      <c r="D205" s="25" t="str">
        <f t="shared" si="34"/>
        <v/>
      </c>
      <c r="E205" s="25" t="str">
        <f t="shared" si="35"/>
        <v/>
      </c>
      <c r="G205" s="15" t="e">
        <f t="shared" si="36"/>
        <v>#VALUE!</v>
      </c>
      <c r="J205" s="15" t="e">
        <f t="shared" si="37"/>
        <v>#VALUE!</v>
      </c>
      <c r="L205" s="23" t="str">
        <f t="shared" si="38"/>
        <v/>
      </c>
    </row>
    <row r="206" spans="3:12" ht="13.5" x14ac:dyDescent="0.15">
      <c r="C206">
        <v>193</v>
      </c>
      <c r="D206" s="25" t="str">
        <f t="shared" si="34"/>
        <v/>
      </c>
      <c r="E206" s="25" t="str">
        <f t="shared" si="35"/>
        <v/>
      </c>
      <c r="G206" s="15" t="e">
        <f t="shared" si="36"/>
        <v>#VALUE!</v>
      </c>
      <c r="J206" s="15" t="e">
        <f t="shared" si="37"/>
        <v>#VALUE!</v>
      </c>
      <c r="L206" s="23" t="str">
        <f t="shared" si="38"/>
        <v/>
      </c>
    </row>
    <row r="207" spans="3:12" ht="13.5" x14ac:dyDescent="0.15">
      <c r="C207">
        <v>194</v>
      </c>
      <c r="D207" s="25" t="str">
        <f t="shared" si="34"/>
        <v/>
      </c>
      <c r="E207" s="25" t="str">
        <f t="shared" si="35"/>
        <v/>
      </c>
      <c r="G207" s="15" t="e">
        <f t="shared" si="36"/>
        <v>#VALUE!</v>
      </c>
      <c r="J207" s="15" t="e">
        <f t="shared" si="37"/>
        <v>#VALUE!</v>
      </c>
      <c r="L207" s="23" t="str">
        <f t="shared" si="38"/>
        <v/>
      </c>
    </row>
    <row r="208" spans="3:12" ht="13.5" x14ac:dyDescent="0.15">
      <c r="C208">
        <v>195</v>
      </c>
      <c r="D208" s="25" t="str">
        <f t="shared" si="34"/>
        <v/>
      </c>
      <c r="E208" s="25" t="str">
        <f t="shared" si="35"/>
        <v/>
      </c>
      <c r="G208" s="15" t="e">
        <f t="shared" si="36"/>
        <v>#VALUE!</v>
      </c>
      <c r="J208" s="15" t="e">
        <f t="shared" si="37"/>
        <v>#VALUE!</v>
      </c>
      <c r="L208" s="23" t="str">
        <f t="shared" si="38"/>
        <v/>
      </c>
    </row>
    <row r="209" spans="3:12" ht="13.5" x14ac:dyDescent="0.15">
      <c r="C209">
        <v>196</v>
      </c>
      <c r="D209" s="25" t="str">
        <f t="shared" si="34"/>
        <v/>
      </c>
      <c r="E209" s="25" t="str">
        <f t="shared" si="35"/>
        <v/>
      </c>
      <c r="G209" s="15" t="e">
        <f t="shared" si="36"/>
        <v>#VALUE!</v>
      </c>
      <c r="J209" s="15" t="e">
        <f t="shared" si="37"/>
        <v>#VALUE!</v>
      </c>
      <c r="L209" s="23" t="str">
        <f t="shared" si="38"/>
        <v/>
      </c>
    </row>
    <row r="210" spans="3:12" ht="13.5" x14ac:dyDescent="0.15">
      <c r="C210">
        <v>197</v>
      </c>
      <c r="D210" s="25" t="str">
        <f t="shared" si="34"/>
        <v/>
      </c>
      <c r="E210" s="25" t="str">
        <f t="shared" si="35"/>
        <v/>
      </c>
      <c r="G210" s="15" t="e">
        <f t="shared" si="36"/>
        <v>#VALUE!</v>
      </c>
      <c r="J210" s="15" t="e">
        <f t="shared" si="37"/>
        <v>#VALUE!</v>
      </c>
      <c r="L210" s="23" t="str">
        <f t="shared" si="38"/>
        <v/>
      </c>
    </row>
    <row r="211" spans="3:12" ht="13.5" x14ac:dyDescent="0.15">
      <c r="C211">
        <v>198</v>
      </c>
      <c r="D211" s="25" t="str">
        <f t="shared" si="34"/>
        <v/>
      </c>
      <c r="E211" s="25" t="str">
        <f t="shared" si="35"/>
        <v/>
      </c>
      <c r="G211" s="15" t="e">
        <f t="shared" si="36"/>
        <v>#VALUE!</v>
      </c>
      <c r="J211" s="15" t="e">
        <f t="shared" si="37"/>
        <v>#VALUE!</v>
      </c>
      <c r="L211" s="23" t="str">
        <f t="shared" si="38"/>
        <v/>
      </c>
    </row>
    <row r="212" spans="3:12" ht="13.5" x14ac:dyDescent="0.15">
      <c r="C212">
        <v>199</v>
      </c>
      <c r="D212" s="25" t="str">
        <f t="shared" si="34"/>
        <v/>
      </c>
      <c r="E212" s="25" t="str">
        <f t="shared" si="35"/>
        <v/>
      </c>
      <c r="G212" s="15" t="e">
        <f t="shared" si="36"/>
        <v>#VALUE!</v>
      </c>
      <c r="J212" s="15" t="e">
        <f t="shared" si="37"/>
        <v>#VALUE!</v>
      </c>
      <c r="L212" s="23" t="str">
        <f t="shared" si="38"/>
        <v/>
      </c>
    </row>
    <row r="213" spans="3:12" ht="13.5" x14ac:dyDescent="0.15">
      <c r="C213">
        <v>200</v>
      </c>
      <c r="D213" s="25" t="str">
        <f t="shared" si="34"/>
        <v/>
      </c>
      <c r="E213" s="25" t="str">
        <f t="shared" si="35"/>
        <v/>
      </c>
      <c r="G213" s="15" t="e">
        <f t="shared" si="36"/>
        <v>#VALUE!</v>
      </c>
      <c r="J213" s="15" t="e">
        <f t="shared" si="37"/>
        <v>#VALUE!</v>
      </c>
      <c r="L213" s="23" t="str">
        <f t="shared" si="38"/>
        <v/>
      </c>
    </row>
  </sheetData>
  <phoneticPr fontId="1" type="noConversion"/>
  <dataValidations count="1">
    <dataValidation type="list" allowBlank="1" showInputMessage="1" showErrorMessage="1" sqref="I59:I62 I65:I103 I105:I125 I127:I148 I151:I177 I179:I180 I182:I195">
      <formula1>expected</formula1>
    </dataValidation>
  </dataValidations>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K107" r:id="rId13"/>
    <hyperlink ref="K95" r:id="rId14"/>
    <hyperlink ref="K179" r:id="rId15"/>
  </hyperlinks>
  <pageMargins left="0.7" right="0.7" top="0.75" bottom="0.75" header="0.3" footer="0.3"/>
  <pageSetup paperSize="9" orientation="portrait" r:id="rId16"/>
  <tableParts count="1">
    <tablePart r:id="rId1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53"/>
  <sheetViews>
    <sheetView showGridLines="0" topLeftCell="A4" workbookViewId="0">
      <selection activeCell="D52" sqref="D52"/>
    </sheetView>
  </sheetViews>
  <sheetFormatPr defaultRowHeight="13.5" x14ac:dyDescent="0.15"/>
  <cols>
    <col min="2" max="2" width="18.75" customWidth="1"/>
    <col min="3" max="3" width="21.875" customWidth="1"/>
  </cols>
  <sheetData>
    <row r="1" spans="2:3" ht="14.25" thickBot="1" x14ac:dyDescent="0.2">
      <c r="B1" s="6">
        <v>43879</v>
      </c>
    </row>
    <row r="2" spans="2:3" ht="15.75" thickBot="1" x14ac:dyDescent="0.2">
      <c r="B2" s="12" t="s">
        <v>178</v>
      </c>
      <c r="C2" s="11" t="s">
        <v>179</v>
      </c>
    </row>
    <row r="3" spans="2:3" ht="15.75" thickBot="1" x14ac:dyDescent="0.2">
      <c r="B3" s="10" t="s">
        <v>180</v>
      </c>
      <c r="C3" s="14" t="s">
        <v>181</v>
      </c>
    </row>
    <row r="4" spans="2:3" ht="15.75" thickBot="1" x14ac:dyDescent="0.2">
      <c r="B4" s="22" t="s">
        <v>182</v>
      </c>
      <c r="C4" s="21" t="s">
        <v>183</v>
      </c>
    </row>
    <row r="5" spans="2:3" ht="15.75" thickBot="1" x14ac:dyDescent="0.2">
      <c r="B5" s="10" t="s">
        <v>184</v>
      </c>
      <c r="C5" s="14" t="s">
        <v>185</v>
      </c>
    </row>
    <row r="6" spans="2:3" ht="15.75" thickBot="1" x14ac:dyDescent="0.2">
      <c r="B6" s="10" t="s">
        <v>186</v>
      </c>
      <c r="C6" s="14" t="s">
        <v>187</v>
      </c>
    </row>
    <row r="8" spans="2:3" ht="14.25" thickBot="1" x14ac:dyDescent="0.2">
      <c r="B8" s="6">
        <v>43882</v>
      </c>
    </row>
    <row r="9" spans="2:3" ht="15.75" thickBot="1" x14ac:dyDescent="0.2">
      <c r="B9" s="13" t="s">
        <v>178</v>
      </c>
      <c r="C9" s="8" t="s">
        <v>179</v>
      </c>
    </row>
    <row r="10" spans="2:3" ht="15.75" thickBot="1" x14ac:dyDescent="0.2">
      <c r="B10" s="10" t="s">
        <v>180</v>
      </c>
      <c r="C10" s="14" t="s">
        <v>187</v>
      </c>
    </row>
    <row r="11" spans="2:3" ht="15.75" thickBot="1" x14ac:dyDescent="0.2">
      <c r="B11" s="10" t="s">
        <v>182</v>
      </c>
      <c r="C11" s="14" t="s">
        <v>185</v>
      </c>
    </row>
    <row r="12" spans="2:3" ht="15.75" thickBot="1" x14ac:dyDescent="0.2">
      <c r="B12" s="22" t="s">
        <v>184</v>
      </c>
      <c r="C12" s="21" t="s">
        <v>183</v>
      </c>
    </row>
    <row r="13" spans="2:3" ht="15.75" thickBot="1" x14ac:dyDescent="0.2">
      <c r="B13" s="10" t="s">
        <v>186</v>
      </c>
      <c r="C13" s="14" t="s">
        <v>188</v>
      </c>
    </row>
    <row r="16" spans="2:3" ht="14.25" thickBot="1" x14ac:dyDescent="0.2">
      <c r="B16" s="6">
        <v>43885</v>
      </c>
    </row>
    <row r="17" spans="2:3" ht="19.5" thickBot="1" x14ac:dyDescent="0.2">
      <c r="B17" s="17" t="s">
        <v>178</v>
      </c>
      <c r="C17" s="18" t="s">
        <v>218</v>
      </c>
    </row>
    <row r="18" spans="2:3" ht="15.75" thickBot="1" x14ac:dyDescent="0.2">
      <c r="B18" s="19" t="s">
        <v>219</v>
      </c>
      <c r="C18" s="14" t="s">
        <v>220</v>
      </c>
    </row>
    <row r="19" spans="2:3" ht="15.75" thickBot="1" x14ac:dyDescent="0.2">
      <c r="B19" s="20" t="s">
        <v>221</v>
      </c>
      <c r="C19" s="21" t="s">
        <v>183</v>
      </c>
    </row>
    <row r="20" spans="2:3" ht="15.75" thickBot="1" x14ac:dyDescent="0.2">
      <c r="B20" s="19" t="s">
        <v>222</v>
      </c>
      <c r="C20" s="14" t="s">
        <v>185</v>
      </c>
    </row>
    <row r="21" spans="2:3" ht="15.75" thickBot="1" x14ac:dyDescent="0.2">
      <c r="B21" s="19" t="s">
        <v>223</v>
      </c>
      <c r="C21" s="14" t="s">
        <v>187</v>
      </c>
    </row>
    <row r="25" spans="2:3" ht="14.25" thickBot="1" x14ac:dyDescent="0.2">
      <c r="B25" s="6">
        <v>43886</v>
      </c>
    </row>
    <row r="26" spans="2:3" ht="19.5" thickBot="1" x14ac:dyDescent="0.2">
      <c r="B26" s="17" t="s">
        <v>178</v>
      </c>
      <c r="C26" s="18" t="s">
        <v>218</v>
      </c>
    </row>
    <row r="27" spans="2:3" ht="15.75" thickBot="1" x14ac:dyDescent="0.2">
      <c r="B27" s="19" t="s">
        <v>219</v>
      </c>
      <c r="C27" s="14" t="s">
        <v>354</v>
      </c>
    </row>
    <row r="28" spans="2:3" ht="15.75" thickBot="1" x14ac:dyDescent="0.2">
      <c r="B28" s="19" t="s">
        <v>221</v>
      </c>
      <c r="C28" s="14" t="s">
        <v>183</v>
      </c>
    </row>
    <row r="29" spans="2:3" ht="15.75" thickBot="1" x14ac:dyDescent="0.2">
      <c r="B29" s="19" t="s">
        <v>222</v>
      </c>
      <c r="C29" s="14" t="s">
        <v>185</v>
      </c>
    </row>
    <row r="30" spans="2:3" ht="15.75" thickBot="1" x14ac:dyDescent="0.2">
      <c r="B30" s="19" t="s">
        <v>223</v>
      </c>
      <c r="C30" s="14" t="s">
        <v>359</v>
      </c>
    </row>
    <row r="35" spans="2:9" ht="14.25" thickBot="1" x14ac:dyDescent="0.2">
      <c r="B35" s="6">
        <v>43888</v>
      </c>
    </row>
    <row r="36" spans="2:9" ht="19.5" thickBot="1" x14ac:dyDescent="0.2">
      <c r="B36" s="17" t="s">
        <v>178</v>
      </c>
      <c r="C36" s="18" t="s">
        <v>218</v>
      </c>
    </row>
    <row r="37" spans="2:9" ht="15.75" thickBot="1" x14ac:dyDescent="0.2">
      <c r="B37" s="19" t="s">
        <v>219</v>
      </c>
      <c r="C37" s="14" t="s">
        <v>517</v>
      </c>
    </row>
    <row r="38" spans="2:9" ht="15.75" thickBot="1" x14ac:dyDescent="0.2">
      <c r="B38" s="19" t="s">
        <v>221</v>
      </c>
      <c r="C38" s="14" t="s">
        <v>518</v>
      </c>
    </row>
    <row r="39" spans="2:9" ht="15.75" thickBot="1" x14ac:dyDescent="0.2">
      <c r="B39" s="19" t="s">
        <v>222</v>
      </c>
      <c r="C39" s="14" t="s">
        <v>185</v>
      </c>
    </row>
    <row r="40" spans="2:9" ht="15.75" thickBot="1" x14ac:dyDescent="0.2">
      <c r="B40" s="19" t="s">
        <v>223</v>
      </c>
      <c r="C40" s="14" t="s">
        <v>519</v>
      </c>
      <c r="E40" t="s">
        <v>520</v>
      </c>
    </row>
    <row r="41" spans="2:9" ht="14.25" thickBot="1" x14ac:dyDescent="0.2"/>
    <row r="42" spans="2:9" ht="19.5" thickBot="1" x14ac:dyDescent="0.2">
      <c r="B42" s="17" t="s">
        <v>178</v>
      </c>
      <c r="C42" s="18" t="s">
        <v>218</v>
      </c>
      <c r="E42" s="31"/>
      <c r="F42" s="32"/>
      <c r="G42" s="33" t="s">
        <v>569</v>
      </c>
      <c r="H42" s="33" t="s">
        <v>570</v>
      </c>
      <c r="I42" s="33" t="s">
        <v>571</v>
      </c>
    </row>
    <row r="43" spans="2:9" ht="15.75" thickBot="1" x14ac:dyDescent="0.2">
      <c r="B43" s="19" t="s">
        <v>219</v>
      </c>
      <c r="C43" s="14" t="s">
        <v>525</v>
      </c>
      <c r="E43" s="34" t="s">
        <v>572</v>
      </c>
      <c r="F43" s="14" t="s">
        <v>573</v>
      </c>
      <c r="G43" s="35" t="s">
        <v>574</v>
      </c>
      <c r="H43" s="36" t="s">
        <v>575</v>
      </c>
      <c r="I43" s="10" t="s">
        <v>576</v>
      </c>
    </row>
    <row r="44" spans="2:9" ht="15.75" thickBot="1" x14ac:dyDescent="0.2">
      <c r="B44" s="19" t="s">
        <v>521</v>
      </c>
      <c r="C44" s="14" t="s">
        <v>528</v>
      </c>
      <c r="E44" s="34" t="s">
        <v>577</v>
      </c>
      <c r="F44" s="14" t="s">
        <v>578</v>
      </c>
      <c r="G44" s="35" t="s">
        <v>579</v>
      </c>
      <c r="H44" s="36" t="s">
        <v>575</v>
      </c>
      <c r="I44" s="10" t="s">
        <v>580</v>
      </c>
    </row>
    <row r="45" spans="2:9" ht="15.75" thickBot="1" x14ac:dyDescent="0.2">
      <c r="B45" s="19" t="s">
        <v>522</v>
      </c>
      <c r="C45" s="14" t="s">
        <v>524</v>
      </c>
      <c r="E45" s="34" t="s">
        <v>581</v>
      </c>
      <c r="F45" s="14" t="s">
        <v>582</v>
      </c>
      <c r="G45" s="35" t="s">
        <v>583</v>
      </c>
      <c r="H45" s="36" t="s">
        <v>575</v>
      </c>
      <c r="I45" s="10" t="s">
        <v>584</v>
      </c>
    </row>
    <row r="46" spans="2:9" ht="15.75" thickBot="1" x14ac:dyDescent="0.2">
      <c r="B46" s="19" t="s">
        <v>222</v>
      </c>
      <c r="C46" s="14" t="s">
        <v>185</v>
      </c>
      <c r="E46" s="34" t="s">
        <v>585</v>
      </c>
      <c r="F46" s="14" t="s">
        <v>586</v>
      </c>
      <c r="G46" s="35" t="s">
        <v>587</v>
      </c>
      <c r="H46" s="36" t="s">
        <v>575</v>
      </c>
      <c r="I46" s="10" t="s">
        <v>586</v>
      </c>
    </row>
    <row r="47" spans="2:9" ht="15.75" thickBot="1" x14ac:dyDescent="0.2">
      <c r="B47" s="19" t="s">
        <v>223</v>
      </c>
      <c r="C47" s="14" t="s">
        <v>526</v>
      </c>
      <c r="E47" s="34" t="s">
        <v>588</v>
      </c>
      <c r="F47" s="14" t="s">
        <v>589</v>
      </c>
      <c r="G47" s="35" t="s">
        <v>590</v>
      </c>
      <c r="H47" s="36" t="s">
        <v>575</v>
      </c>
      <c r="I47" s="10" t="s">
        <v>527</v>
      </c>
    </row>
    <row r="48" spans="2:9" ht="15.75" thickBot="1" x14ac:dyDescent="0.2">
      <c r="E48" s="34" t="s">
        <v>591</v>
      </c>
      <c r="F48" s="14" t="s">
        <v>592</v>
      </c>
      <c r="G48" s="35" t="s">
        <v>593</v>
      </c>
      <c r="H48" s="36" t="s">
        <v>575</v>
      </c>
      <c r="I48" s="10" t="s">
        <v>181</v>
      </c>
    </row>
    <row r="49" spans="5:9" ht="15.75" thickBot="1" x14ac:dyDescent="0.2">
      <c r="E49" s="34" t="s">
        <v>594</v>
      </c>
      <c r="F49" s="14" t="s">
        <v>595</v>
      </c>
      <c r="G49" s="35" t="s">
        <v>596</v>
      </c>
      <c r="H49" s="36" t="s">
        <v>575</v>
      </c>
      <c r="I49" s="10" t="s">
        <v>595</v>
      </c>
    </row>
    <row r="50" spans="5:9" ht="15.75" thickBot="1" x14ac:dyDescent="0.2">
      <c r="E50" s="34" t="s">
        <v>597</v>
      </c>
      <c r="F50" s="14" t="s">
        <v>598</v>
      </c>
      <c r="G50" s="35" t="s">
        <v>599</v>
      </c>
      <c r="H50" s="36" t="s">
        <v>575</v>
      </c>
      <c r="I50" s="10" t="s">
        <v>600</v>
      </c>
    </row>
    <row r="51" spans="5:9" ht="15.75" thickBot="1" x14ac:dyDescent="0.2">
      <c r="E51" s="34" t="s">
        <v>601</v>
      </c>
      <c r="F51" s="14" t="s">
        <v>602</v>
      </c>
      <c r="G51" s="35" t="s">
        <v>603</v>
      </c>
      <c r="H51" s="37" t="s">
        <v>575</v>
      </c>
      <c r="I51" s="10" t="s">
        <v>523</v>
      </c>
    </row>
    <row r="52" spans="5:9" ht="15" x14ac:dyDescent="0.15">
      <c r="E52" s="30"/>
    </row>
    <row r="53" spans="5:9" ht="15" x14ac:dyDescent="0.15">
      <c r="E53" s="30"/>
    </row>
  </sheetData>
  <phoneticPr fontId="1" type="noConversion"/>
  <hyperlinks>
    <hyperlink ref="G43" r:id="rId1" display="mailto:virtuos11@bluehole.net"/>
    <hyperlink ref="G44" r:id="rId2" display="mailto:virtuos12@bluehole.net"/>
    <hyperlink ref="G45" r:id="rId3" display="mailto:virtuos13@bluehole.net"/>
    <hyperlink ref="G46" r:id="rId4" display="mailto:virtuos14@bluehole.net"/>
    <hyperlink ref="G47" r:id="rId5" display="mailto:virtuos15@bluehole.net"/>
    <hyperlink ref="G48" r:id="rId6" display="mailto:virtuos16@bluehole.net"/>
    <hyperlink ref="G49" r:id="rId7" display="mailto:virtuos17@bluehole.net"/>
    <hyperlink ref="G50" r:id="rId8" display="mailto:virtuos18@bluehole.net"/>
    <hyperlink ref="G51" r:id="rId9" display="mailto:virtuos19@bluehole.net"/>
  </hyperlinks>
  <pageMargins left="0.7" right="0.7" top="0.75" bottom="0.75" header="0.3" footer="0.3"/>
  <pageSetup paperSize="9" orientation="portrait" r:id="rId10"/>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33"/>
  <sheetViews>
    <sheetView zoomScale="85" zoomScaleNormal="85" workbookViewId="0">
      <selection activeCell="B33" sqref="B33"/>
    </sheetView>
  </sheetViews>
  <sheetFormatPr defaultRowHeight="13.5" x14ac:dyDescent="0.15"/>
  <sheetData>
    <row r="2" spans="2:2" ht="16.5" x14ac:dyDescent="0.15">
      <c r="B2" s="5" t="s">
        <v>121</v>
      </c>
    </row>
    <row r="3" spans="2:2" x14ac:dyDescent="0.15">
      <c r="B3" s="3" t="s">
        <v>122</v>
      </c>
    </row>
    <row r="4" spans="2:2" ht="16.5" x14ac:dyDescent="0.15">
      <c r="B4" s="7" t="s">
        <v>123</v>
      </c>
    </row>
    <row r="5" spans="2:2" ht="16.5" x14ac:dyDescent="0.15">
      <c r="B5" s="7" t="s">
        <v>124</v>
      </c>
    </row>
    <row r="6" spans="2:2" ht="16.5" x14ac:dyDescent="0.15">
      <c r="B6" s="5" t="s">
        <v>125</v>
      </c>
    </row>
    <row r="7" spans="2:2" ht="16.5" x14ac:dyDescent="0.15">
      <c r="B7" s="5" t="s">
        <v>126</v>
      </c>
    </row>
    <row r="8" spans="2:2" ht="16.5" x14ac:dyDescent="0.15">
      <c r="B8" s="5" t="s">
        <v>135</v>
      </c>
    </row>
    <row r="9" spans="2:2" ht="16.5" x14ac:dyDescent="0.15">
      <c r="B9" s="5" t="s">
        <v>137</v>
      </c>
    </row>
    <row r="10" spans="2:2" ht="16.5" x14ac:dyDescent="0.15">
      <c r="B10" s="7" t="s">
        <v>139</v>
      </c>
    </row>
    <row r="11" spans="2:2" ht="16.5" x14ac:dyDescent="0.15">
      <c r="B11" s="7" t="s">
        <v>141</v>
      </c>
    </row>
    <row r="12" spans="2:2" ht="16.5" x14ac:dyDescent="0.15">
      <c r="B12" s="5"/>
    </row>
    <row r="13" spans="2:2" ht="16.5" x14ac:dyDescent="0.15">
      <c r="B13" s="5" t="s">
        <v>127</v>
      </c>
    </row>
    <row r="14" spans="2:2" ht="16.5" x14ac:dyDescent="0.15">
      <c r="B14" s="5" t="s">
        <v>128</v>
      </c>
    </row>
    <row r="15" spans="2:2" ht="16.5" x14ac:dyDescent="0.15">
      <c r="B15" s="5" t="s">
        <v>143</v>
      </c>
    </row>
    <row r="16" spans="2:2" ht="16.5" x14ac:dyDescent="0.15">
      <c r="B16" s="5" t="s">
        <v>129</v>
      </c>
    </row>
    <row r="17" spans="2:2" ht="16.5" x14ac:dyDescent="0.15">
      <c r="B17" s="5" t="s">
        <v>130</v>
      </c>
    </row>
    <row r="25" spans="2:2" x14ac:dyDescent="0.15">
      <c r="B25" t="s">
        <v>136</v>
      </c>
    </row>
    <row r="26" spans="2:2" x14ac:dyDescent="0.15">
      <c r="B26" t="s">
        <v>138</v>
      </c>
    </row>
    <row r="27" spans="2:2" x14ac:dyDescent="0.15">
      <c r="B27" t="s">
        <v>140</v>
      </c>
    </row>
    <row r="28" spans="2:2" x14ac:dyDescent="0.15">
      <c r="B28" t="s">
        <v>142</v>
      </c>
    </row>
    <row r="29" spans="2:2" x14ac:dyDescent="0.15">
      <c r="B29" t="s">
        <v>144</v>
      </c>
    </row>
    <row r="32" spans="2:2" x14ac:dyDescent="0.15">
      <c r="B32" t="s">
        <v>301</v>
      </c>
    </row>
    <row r="33" spans="2:2" x14ac:dyDescent="0.15">
      <c r="B33" s="9" t="s">
        <v>300</v>
      </c>
    </row>
  </sheetData>
  <phoneticPr fontId="1" type="noConversion"/>
  <hyperlinks>
    <hyperlink ref="B3" r:id="rId1" display="\\cnshasnas001\PUBG_Live_build"/>
    <hyperlink ref="B33"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8"/>
  <sheetViews>
    <sheetView workbookViewId="0">
      <selection activeCell="B28" sqref="B28"/>
    </sheetView>
  </sheetViews>
  <sheetFormatPr defaultRowHeight="13.5" x14ac:dyDescent="0.15"/>
  <cols>
    <col min="2" max="2" width="44.5" customWidth="1"/>
  </cols>
  <sheetData>
    <row r="2" spans="2:2" x14ac:dyDescent="0.15">
      <c r="B2" t="s">
        <v>255</v>
      </c>
    </row>
    <row r="3" spans="2:2" x14ac:dyDescent="0.15">
      <c r="B3" t="s">
        <v>243</v>
      </c>
    </row>
    <row r="4" spans="2:2" x14ac:dyDescent="0.15">
      <c r="B4" t="s">
        <v>244</v>
      </c>
    </row>
    <row r="5" spans="2:2" x14ac:dyDescent="0.15">
      <c r="B5" t="s">
        <v>245</v>
      </c>
    </row>
    <row r="6" spans="2:2" x14ac:dyDescent="0.15">
      <c r="B6" t="s">
        <v>247</v>
      </c>
    </row>
    <row r="7" spans="2:2" x14ac:dyDescent="0.15">
      <c r="B7" t="s">
        <v>280</v>
      </c>
    </row>
    <row r="8" spans="2:2" x14ac:dyDescent="0.15">
      <c r="B8" t="s">
        <v>342</v>
      </c>
    </row>
    <row r="28" spans="2:2" ht="94.5" x14ac:dyDescent="0.15">
      <c r="B28" s="28" t="s">
        <v>647</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37"/>
  <sheetViews>
    <sheetView showGridLines="0" zoomScale="68" zoomScaleNormal="68" workbookViewId="0">
      <pane xSplit="6" ySplit="1" topLeftCell="G2" activePane="bottomRight" state="frozenSplit"/>
      <selection pane="topRight" activeCell="H1" sqref="H1"/>
      <selection pane="bottomLeft" activeCell="A2" sqref="A2"/>
      <selection pane="bottomRight" activeCell="F2" sqref="F2"/>
    </sheetView>
  </sheetViews>
  <sheetFormatPr defaultRowHeight="12.75" x14ac:dyDescent="0.15"/>
  <cols>
    <col min="1" max="1" width="6" style="15" customWidth="1"/>
    <col min="2" max="2" width="9.5" style="15" bestFit="1" customWidth="1"/>
    <col min="3" max="3" width="6" style="15" customWidth="1"/>
    <col min="4" max="4" width="6.625" style="15" bestFit="1" customWidth="1"/>
    <col min="5" max="5" width="6.625" style="15" customWidth="1"/>
    <col min="6" max="6" width="30" style="15" customWidth="1"/>
    <col min="7" max="7" width="34.125" style="15" customWidth="1"/>
    <col min="8" max="8" width="33.75" style="15" customWidth="1"/>
    <col min="9" max="9" width="26.5" style="15" customWidth="1"/>
    <col min="10" max="10" width="63.375" style="15" customWidth="1"/>
    <col min="11" max="11" width="19.75" style="15" customWidth="1"/>
    <col min="12" max="12" width="47.75" style="15" customWidth="1"/>
    <col min="13" max="16384" width="9" style="15"/>
  </cols>
  <sheetData>
    <row r="1" spans="2:12" s="26" customFormat="1" ht="30" x14ac:dyDescent="0.15">
      <c r="B1" s="26" t="s">
        <v>297</v>
      </c>
      <c r="C1" s="26" t="s">
        <v>298</v>
      </c>
      <c r="D1" s="27" t="s">
        <v>108</v>
      </c>
      <c r="E1" s="27" t="s">
        <v>299</v>
      </c>
      <c r="F1" s="26" t="s">
        <v>32</v>
      </c>
      <c r="G1" s="26" t="s">
        <v>224</v>
      </c>
      <c r="H1" s="26" t="s">
        <v>225</v>
      </c>
      <c r="I1" s="26" t="s">
        <v>226</v>
      </c>
      <c r="J1" s="27" t="s">
        <v>33</v>
      </c>
      <c r="K1" s="26" t="s">
        <v>107</v>
      </c>
      <c r="L1" s="27" t="s">
        <v>109</v>
      </c>
    </row>
    <row r="2" spans="2:12" ht="89.25" x14ac:dyDescent="0.15">
      <c r="B2" s="24">
        <v>43885</v>
      </c>
      <c r="C2" s="15">
        <v>1</v>
      </c>
      <c r="D2" s="15" t="str">
        <f t="shared" ref="D2:D37" si="0">RIGHT(H2,5)</f>
        <v/>
      </c>
      <c r="E2" s="15" t="str">
        <f t="shared" ref="E2:E37" si="1">MID(F2,2,2)</f>
        <v>DJ</v>
      </c>
      <c r="F2" s="15" t="s">
        <v>357</v>
      </c>
      <c r="G2" s="15" t="str">
        <f t="shared" ref="G2:G37" si="2">RIGHT(F2,LEN(F2)-13)</f>
        <v/>
      </c>
      <c r="I2" s="15" t="s">
        <v>358</v>
      </c>
      <c r="J2" s="15" t="str">
        <f t="shared" ref="J2:J37" si="3">CONCATENATE(G2,CHAR(10),CHAR(10),"*Location(s):*",CHAR(10),H2,CHAR(10),CHAR(10),"*Expected Results:*",CHAR(10),I2)</f>
        <v xml:space="preserve">
*Location(s):*
*Expected Results:*
select expectation…</v>
      </c>
      <c r="L2" s="23" t="str">
        <f t="shared" ref="L2" si="4">HYPERLINK(K2)</f>
        <v/>
      </c>
    </row>
    <row r="3" spans="2:12" ht="89.25" x14ac:dyDescent="0.15">
      <c r="B3" s="24">
        <v>43885</v>
      </c>
      <c r="C3" s="15">
        <v>2</v>
      </c>
      <c r="D3" s="15" t="str">
        <f t="shared" si="0"/>
        <v/>
      </c>
      <c r="E3" s="15" t="str">
        <f t="shared" si="1"/>
        <v>DJ</v>
      </c>
      <c r="F3" s="15" t="s">
        <v>357</v>
      </c>
      <c r="G3" s="15" t="str">
        <f t="shared" si="2"/>
        <v/>
      </c>
      <c r="I3" s="15" t="s">
        <v>358</v>
      </c>
      <c r="J3" s="15" t="str">
        <f t="shared" si="3"/>
        <v xml:space="preserve">
*Location(s):*
*Expected Results:*
select expectation…</v>
      </c>
      <c r="L3" s="23" t="str">
        <f t="shared" ref="L3:L37" si="5">HYPERLINK(K3)</f>
        <v/>
      </c>
    </row>
    <row r="4" spans="2:12" ht="89.25" x14ac:dyDescent="0.15">
      <c r="B4" s="24">
        <v>43885</v>
      </c>
      <c r="C4" s="15">
        <v>3</v>
      </c>
      <c r="D4" s="15" t="str">
        <f t="shared" si="0"/>
        <v/>
      </c>
      <c r="E4" s="15" t="str">
        <f t="shared" si="1"/>
        <v>DJ</v>
      </c>
      <c r="F4" s="15" t="s">
        <v>357</v>
      </c>
      <c r="G4" s="15" t="str">
        <f t="shared" si="2"/>
        <v/>
      </c>
      <c r="I4" s="15" t="s">
        <v>358</v>
      </c>
      <c r="J4" s="15" t="str">
        <f t="shared" si="3"/>
        <v xml:space="preserve">
*Location(s):*
*Expected Results:*
select expectation…</v>
      </c>
      <c r="L4" s="23" t="str">
        <f t="shared" si="5"/>
        <v/>
      </c>
    </row>
    <row r="5" spans="2:12" ht="89.25" x14ac:dyDescent="0.15">
      <c r="B5" s="24">
        <v>43885</v>
      </c>
      <c r="C5" s="15">
        <v>4</v>
      </c>
      <c r="D5" s="15" t="str">
        <f t="shared" si="0"/>
        <v/>
      </c>
      <c r="E5" s="15" t="str">
        <f t="shared" si="1"/>
        <v>DJ</v>
      </c>
      <c r="F5" s="15" t="s">
        <v>357</v>
      </c>
      <c r="G5" s="15" t="str">
        <f t="shared" si="2"/>
        <v/>
      </c>
      <c r="I5" s="15" t="s">
        <v>358</v>
      </c>
      <c r="J5" s="15" t="str">
        <f t="shared" si="3"/>
        <v xml:space="preserve">
*Location(s):*
*Expected Results:*
select expectation…</v>
      </c>
      <c r="L5" s="23" t="str">
        <f t="shared" si="5"/>
        <v/>
      </c>
    </row>
    <row r="6" spans="2:12" ht="89.25" x14ac:dyDescent="0.15">
      <c r="B6" s="24">
        <v>43885</v>
      </c>
      <c r="C6" s="15">
        <v>5</v>
      </c>
      <c r="D6" s="15" t="str">
        <f t="shared" si="0"/>
        <v/>
      </c>
      <c r="E6" s="15" t="str">
        <f t="shared" si="1"/>
        <v>DJ</v>
      </c>
      <c r="F6" s="15" t="s">
        <v>357</v>
      </c>
      <c r="G6" s="15" t="str">
        <f t="shared" si="2"/>
        <v/>
      </c>
      <c r="I6" s="15" t="s">
        <v>358</v>
      </c>
      <c r="J6" s="15" t="str">
        <f t="shared" si="3"/>
        <v xml:space="preserve">
*Location(s):*
*Expected Results:*
select expectation…</v>
      </c>
      <c r="L6" s="23" t="str">
        <f t="shared" si="5"/>
        <v/>
      </c>
    </row>
    <row r="7" spans="2:12" ht="89.25" x14ac:dyDescent="0.15">
      <c r="B7" s="24">
        <v>43885</v>
      </c>
      <c r="C7" s="15">
        <v>6</v>
      </c>
      <c r="D7" s="15" t="str">
        <f t="shared" si="0"/>
        <v/>
      </c>
      <c r="E7" s="15" t="str">
        <f t="shared" si="1"/>
        <v>DJ</v>
      </c>
      <c r="F7" s="15" t="s">
        <v>357</v>
      </c>
      <c r="G7" s="15" t="str">
        <f t="shared" si="2"/>
        <v/>
      </c>
      <c r="I7" s="15" t="s">
        <v>358</v>
      </c>
      <c r="J7" s="15" t="str">
        <f t="shared" si="3"/>
        <v xml:space="preserve">
*Location(s):*
*Expected Results:*
select expectation…</v>
      </c>
      <c r="L7" s="23" t="str">
        <f t="shared" si="5"/>
        <v/>
      </c>
    </row>
    <row r="8" spans="2:12" ht="89.25" x14ac:dyDescent="0.15">
      <c r="B8" s="24">
        <v>43885</v>
      </c>
      <c r="C8" s="15">
        <v>7</v>
      </c>
      <c r="D8" s="15" t="str">
        <f t="shared" si="0"/>
        <v/>
      </c>
      <c r="E8" s="15" t="str">
        <f t="shared" si="1"/>
        <v>DJ</v>
      </c>
      <c r="F8" s="15" t="s">
        <v>357</v>
      </c>
      <c r="G8" s="15" t="str">
        <f t="shared" si="2"/>
        <v/>
      </c>
      <c r="I8" s="15" t="s">
        <v>358</v>
      </c>
      <c r="J8" s="15" t="str">
        <f t="shared" si="3"/>
        <v xml:space="preserve">
*Location(s):*
*Expected Results:*
select expectation…</v>
      </c>
      <c r="L8" s="23" t="str">
        <f t="shared" si="5"/>
        <v/>
      </c>
    </row>
    <row r="9" spans="2:12" ht="89.25" x14ac:dyDescent="0.15">
      <c r="B9" s="24">
        <v>43885</v>
      </c>
      <c r="C9" s="15">
        <v>8</v>
      </c>
      <c r="D9" s="15" t="str">
        <f t="shared" si="0"/>
        <v/>
      </c>
      <c r="E9" s="15" t="str">
        <f t="shared" si="1"/>
        <v>DJ</v>
      </c>
      <c r="F9" s="15" t="s">
        <v>357</v>
      </c>
      <c r="G9" s="15" t="str">
        <f t="shared" si="2"/>
        <v/>
      </c>
      <c r="I9" s="15" t="s">
        <v>358</v>
      </c>
      <c r="J9" s="15" t="str">
        <f t="shared" si="3"/>
        <v xml:space="preserve">
*Location(s):*
*Expected Results:*
select expectation…</v>
      </c>
      <c r="L9" s="23" t="str">
        <f t="shared" si="5"/>
        <v/>
      </c>
    </row>
    <row r="10" spans="2:12" ht="89.25" x14ac:dyDescent="0.15">
      <c r="B10" s="24">
        <v>43885</v>
      </c>
      <c r="C10" s="15">
        <v>9</v>
      </c>
      <c r="D10" s="15" t="str">
        <f t="shared" si="0"/>
        <v/>
      </c>
      <c r="E10" s="15" t="str">
        <f t="shared" si="1"/>
        <v>DJ</v>
      </c>
      <c r="F10" s="15" t="s">
        <v>357</v>
      </c>
      <c r="G10" s="15" t="str">
        <f t="shared" si="2"/>
        <v/>
      </c>
      <c r="I10" s="15" t="s">
        <v>358</v>
      </c>
      <c r="J10" s="15" t="str">
        <f t="shared" si="3"/>
        <v xml:space="preserve">
*Location(s):*
*Expected Results:*
select expectation…</v>
      </c>
      <c r="L10" s="23" t="str">
        <f t="shared" si="5"/>
        <v/>
      </c>
    </row>
    <row r="11" spans="2:12" ht="89.25" x14ac:dyDescent="0.15">
      <c r="B11" s="24">
        <v>43885</v>
      </c>
      <c r="C11" s="15">
        <v>10</v>
      </c>
      <c r="D11" s="15" t="str">
        <f t="shared" si="0"/>
        <v/>
      </c>
      <c r="E11" s="15" t="str">
        <f t="shared" si="1"/>
        <v>DJ</v>
      </c>
      <c r="F11" s="15" t="s">
        <v>357</v>
      </c>
      <c r="G11" s="15" t="str">
        <f t="shared" si="2"/>
        <v/>
      </c>
      <c r="I11" s="15" t="s">
        <v>358</v>
      </c>
      <c r="J11" s="15" t="str">
        <f t="shared" si="3"/>
        <v xml:space="preserve">
*Location(s):*
*Expected Results:*
select expectation…</v>
      </c>
      <c r="L11" s="23" t="str">
        <f t="shared" si="5"/>
        <v/>
      </c>
    </row>
    <row r="12" spans="2:12" ht="89.25" x14ac:dyDescent="0.15">
      <c r="B12" s="24">
        <v>43885</v>
      </c>
      <c r="C12" s="15">
        <v>11</v>
      </c>
      <c r="D12" s="15" t="str">
        <f t="shared" si="0"/>
        <v/>
      </c>
      <c r="E12" s="15" t="str">
        <f t="shared" si="1"/>
        <v>DJ</v>
      </c>
      <c r="F12" s="15" t="s">
        <v>357</v>
      </c>
      <c r="G12" s="15" t="str">
        <f t="shared" si="2"/>
        <v/>
      </c>
      <c r="I12" s="15" t="s">
        <v>358</v>
      </c>
      <c r="J12" s="15" t="str">
        <f t="shared" si="3"/>
        <v xml:space="preserve">
*Location(s):*
*Expected Results:*
select expectation…</v>
      </c>
      <c r="L12" s="23" t="str">
        <f t="shared" si="5"/>
        <v/>
      </c>
    </row>
    <row r="13" spans="2:12" ht="89.25" x14ac:dyDescent="0.15">
      <c r="B13" s="24">
        <v>43886</v>
      </c>
      <c r="C13" s="15">
        <v>12</v>
      </c>
      <c r="D13" s="15" t="str">
        <f t="shared" si="0"/>
        <v/>
      </c>
      <c r="E13" s="15" t="str">
        <f t="shared" si="1"/>
        <v>DJ</v>
      </c>
      <c r="F13" s="15" t="s">
        <v>357</v>
      </c>
      <c r="G13" s="15" t="str">
        <f t="shared" si="2"/>
        <v/>
      </c>
      <c r="I13" s="15" t="s">
        <v>358</v>
      </c>
      <c r="J13" s="15" t="str">
        <f t="shared" si="3"/>
        <v xml:space="preserve">
*Location(s):*
*Expected Results:*
select expectation…</v>
      </c>
      <c r="L13" s="23" t="str">
        <f t="shared" si="5"/>
        <v/>
      </c>
    </row>
    <row r="14" spans="2:12" ht="89.25" x14ac:dyDescent="0.15">
      <c r="B14" s="24">
        <v>43886</v>
      </c>
      <c r="C14" s="15">
        <v>13</v>
      </c>
      <c r="D14" s="15" t="str">
        <f t="shared" si="0"/>
        <v/>
      </c>
      <c r="E14" s="15" t="str">
        <f t="shared" si="1"/>
        <v>DJ</v>
      </c>
      <c r="F14" s="15" t="s">
        <v>357</v>
      </c>
      <c r="G14" s="15" t="str">
        <f t="shared" si="2"/>
        <v/>
      </c>
      <c r="I14" s="15" t="s">
        <v>358</v>
      </c>
      <c r="J14" s="15" t="str">
        <f t="shared" si="3"/>
        <v xml:space="preserve">
*Location(s):*
*Expected Results:*
select expectation…</v>
      </c>
      <c r="L14" s="23" t="str">
        <f t="shared" si="5"/>
        <v/>
      </c>
    </row>
    <row r="15" spans="2:12" ht="89.25" x14ac:dyDescent="0.15">
      <c r="B15" s="24">
        <v>43886</v>
      </c>
      <c r="C15" s="15">
        <v>14</v>
      </c>
      <c r="D15" s="15" t="str">
        <f t="shared" si="0"/>
        <v/>
      </c>
      <c r="E15" s="15" t="str">
        <f t="shared" si="1"/>
        <v>DJ</v>
      </c>
      <c r="F15" s="15" t="s">
        <v>357</v>
      </c>
      <c r="G15" s="15" t="str">
        <f t="shared" si="2"/>
        <v/>
      </c>
      <c r="I15" s="15" t="s">
        <v>358</v>
      </c>
      <c r="J15" s="15" t="str">
        <f t="shared" si="3"/>
        <v xml:space="preserve">
*Location(s):*
*Expected Results:*
select expectation…</v>
      </c>
      <c r="L15" s="23" t="str">
        <f t="shared" si="5"/>
        <v/>
      </c>
    </row>
    <row r="16" spans="2:12" ht="89.25" x14ac:dyDescent="0.15">
      <c r="B16" s="24">
        <v>43886</v>
      </c>
      <c r="C16" s="15">
        <v>15</v>
      </c>
      <c r="D16" s="15" t="str">
        <f t="shared" si="0"/>
        <v/>
      </c>
      <c r="E16" s="15" t="str">
        <f t="shared" si="1"/>
        <v>DJ</v>
      </c>
      <c r="F16" s="15" t="s">
        <v>357</v>
      </c>
      <c r="G16" s="15" t="str">
        <f t="shared" si="2"/>
        <v/>
      </c>
      <c r="I16" s="15" t="s">
        <v>358</v>
      </c>
      <c r="J16" s="15" t="str">
        <f t="shared" si="3"/>
        <v xml:space="preserve">
*Location(s):*
*Expected Results:*
select expectation…</v>
      </c>
      <c r="L16" s="23" t="str">
        <f t="shared" si="5"/>
        <v/>
      </c>
    </row>
    <row r="17" spans="2:12" ht="89.25" x14ac:dyDescent="0.15">
      <c r="B17" s="24">
        <v>43886</v>
      </c>
      <c r="C17" s="15">
        <v>16</v>
      </c>
      <c r="D17" s="15" t="str">
        <f t="shared" si="0"/>
        <v/>
      </c>
      <c r="E17" s="15" t="str">
        <f t="shared" si="1"/>
        <v>DJ</v>
      </c>
      <c r="F17" s="15" t="s">
        <v>357</v>
      </c>
      <c r="G17" s="15" t="str">
        <f t="shared" si="2"/>
        <v/>
      </c>
      <c r="I17" s="15" t="s">
        <v>358</v>
      </c>
      <c r="J17" s="15" t="str">
        <f t="shared" si="3"/>
        <v xml:space="preserve">
*Location(s):*
*Expected Results:*
select expectation…</v>
      </c>
      <c r="L17" s="23" t="str">
        <f t="shared" si="5"/>
        <v/>
      </c>
    </row>
    <row r="18" spans="2:12" ht="89.25" x14ac:dyDescent="0.15">
      <c r="B18" s="24">
        <v>43886</v>
      </c>
      <c r="C18" s="15">
        <v>17</v>
      </c>
      <c r="D18" s="15" t="str">
        <f t="shared" si="0"/>
        <v/>
      </c>
      <c r="E18" s="15" t="str">
        <f t="shared" si="1"/>
        <v>DJ</v>
      </c>
      <c r="F18" s="15" t="s">
        <v>357</v>
      </c>
      <c r="G18" s="15" t="str">
        <f t="shared" si="2"/>
        <v/>
      </c>
      <c r="I18" s="15" t="s">
        <v>358</v>
      </c>
      <c r="J18" s="15" t="str">
        <f t="shared" si="3"/>
        <v xml:space="preserve">
*Location(s):*
*Expected Results:*
select expectation…</v>
      </c>
      <c r="L18" s="23" t="str">
        <f t="shared" si="5"/>
        <v/>
      </c>
    </row>
    <row r="19" spans="2:12" ht="89.25" x14ac:dyDescent="0.15">
      <c r="B19" s="24">
        <v>43886</v>
      </c>
      <c r="C19" s="15">
        <v>18</v>
      </c>
      <c r="D19" s="15" t="str">
        <f t="shared" si="0"/>
        <v/>
      </c>
      <c r="E19" s="15" t="str">
        <f t="shared" si="1"/>
        <v>DJ</v>
      </c>
      <c r="F19" s="15" t="s">
        <v>357</v>
      </c>
      <c r="G19" s="15" t="str">
        <f t="shared" si="2"/>
        <v/>
      </c>
      <c r="I19" s="15" t="s">
        <v>358</v>
      </c>
      <c r="J19" s="15" t="str">
        <f t="shared" si="3"/>
        <v xml:space="preserve">
*Location(s):*
*Expected Results:*
select expectation…</v>
      </c>
      <c r="L19" s="23" t="str">
        <f t="shared" si="5"/>
        <v/>
      </c>
    </row>
    <row r="20" spans="2:12" ht="89.25" x14ac:dyDescent="0.15">
      <c r="B20" s="24">
        <v>43886</v>
      </c>
      <c r="C20" s="15">
        <v>19</v>
      </c>
      <c r="D20" s="15" t="str">
        <f t="shared" si="0"/>
        <v/>
      </c>
      <c r="E20" s="15" t="str">
        <f t="shared" si="1"/>
        <v>DJ</v>
      </c>
      <c r="F20" s="15" t="s">
        <v>357</v>
      </c>
      <c r="G20" s="15" t="str">
        <f t="shared" si="2"/>
        <v/>
      </c>
      <c r="I20" s="15" t="s">
        <v>358</v>
      </c>
      <c r="J20" s="15" t="str">
        <f t="shared" si="3"/>
        <v xml:space="preserve">
*Location(s):*
*Expected Results:*
select expectation…</v>
      </c>
      <c r="L20" s="23" t="str">
        <f t="shared" si="5"/>
        <v/>
      </c>
    </row>
    <row r="21" spans="2:12" ht="89.25" x14ac:dyDescent="0.15">
      <c r="B21" s="24">
        <v>43886</v>
      </c>
      <c r="C21" s="15">
        <v>20</v>
      </c>
      <c r="D21" s="15" t="str">
        <f t="shared" si="0"/>
        <v/>
      </c>
      <c r="E21" s="15" t="str">
        <f t="shared" si="1"/>
        <v>DJ</v>
      </c>
      <c r="F21" s="15" t="s">
        <v>357</v>
      </c>
      <c r="G21" s="15" t="str">
        <f t="shared" si="2"/>
        <v/>
      </c>
      <c r="I21" s="15" t="s">
        <v>358</v>
      </c>
      <c r="J21" s="15" t="str">
        <f t="shared" si="3"/>
        <v xml:space="preserve">
*Location(s):*
*Expected Results:*
select expectation…</v>
      </c>
      <c r="L21" s="23" t="str">
        <f t="shared" si="5"/>
        <v/>
      </c>
    </row>
    <row r="22" spans="2:12" ht="89.25" x14ac:dyDescent="0.15">
      <c r="B22" s="24">
        <v>43886</v>
      </c>
      <c r="C22" s="15">
        <v>21</v>
      </c>
      <c r="D22" s="15" t="str">
        <f t="shared" si="0"/>
        <v/>
      </c>
      <c r="E22" s="15" t="str">
        <f t="shared" si="1"/>
        <v>DJ</v>
      </c>
      <c r="F22" s="15" t="s">
        <v>357</v>
      </c>
      <c r="G22" s="15" t="str">
        <f t="shared" si="2"/>
        <v/>
      </c>
      <c r="I22" s="15" t="s">
        <v>358</v>
      </c>
      <c r="J22" s="15" t="str">
        <f t="shared" si="3"/>
        <v xml:space="preserve">
*Location(s):*
*Expected Results:*
select expectation…</v>
      </c>
      <c r="L22" s="23" t="str">
        <f t="shared" si="5"/>
        <v/>
      </c>
    </row>
    <row r="23" spans="2:12" ht="89.25" x14ac:dyDescent="0.15">
      <c r="C23" s="15">
        <v>22</v>
      </c>
      <c r="D23" s="15" t="str">
        <f t="shared" si="0"/>
        <v/>
      </c>
      <c r="E23" s="15" t="str">
        <f t="shared" si="1"/>
        <v>DJ</v>
      </c>
      <c r="F23" s="15" t="s">
        <v>357</v>
      </c>
      <c r="G23" s="15" t="str">
        <f t="shared" si="2"/>
        <v/>
      </c>
      <c r="I23" s="15" t="s">
        <v>358</v>
      </c>
      <c r="J23" s="15" t="str">
        <f t="shared" si="3"/>
        <v xml:space="preserve">
*Location(s):*
*Expected Results:*
select expectation…</v>
      </c>
      <c r="L23" s="23" t="str">
        <f t="shared" si="5"/>
        <v/>
      </c>
    </row>
    <row r="24" spans="2:12" ht="89.25" x14ac:dyDescent="0.15">
      <c r="C24" s="15">
        <v>23</v>
      </c>
      <c r="D24" s="15" t="str">
        <f t="shared" si="0"/>
        <v/>
      </c>
      <c r="E24" s="15" t="str">
        <f t="shared" si="1"/>
        <v>DJ</v>
      </c>
      <c r="F24" s="15" t="s">
        <v>357</v>
      </c>
      <c r="G24" s="15" t="str">
        <f t="shared" si="2"/>
        <v/>
      </c>
      <c r="I24" s="15" t="s">
        <v>358</v>
      </c>
      <c r="J24" s="15" t="str">
        <f t="shared" si="3"/>
        <v xml:space="preserve">
*Location(s):*
*Expected Results:*
select expectation…</v>
      </c>
      <c r="L24" s="23" t="str">
        <f t="shared" si="5"/>
        <v/>
      </c>
    </row>
    <row r="25" spans="2:12" ht="89.25" x14ac:dyDescent="0.15">
      <c r="C25" s="15">
        <v>24</v>
      </c>
      <c r="D25" s="15" t="str">
        <f t="shared" si="0"/>
        <v/>
      </c>
      <c r="E25" s="15" t="str">
        <f t="shared" si="1"/>
        <v>DJ</v>
      </c>
      <c r="F25" s="15" t="s">
        <v>357</v>
      </c>
      <c r="G25" s="15" t="str">
        <f t="shared" si="2"/>
        <v/>
      </c>
      <c r="I25" s="15" t="s">
        <v>358</v>
      </c>
      <c r="J25" s="15" t="str">
        <f t="shared" si="3"/>
        <v xml:space="preserve">
*Location(s):*
*Expected Results:*
select expectation…</v>
      </c>
      <c r="L25" s="23" t="str">
        <f t="shared" si="5"/>
        <v/>
      </c>
    </row>
    <row r="26" spans="2:12" ht="89.25" x14ac:dyDescent="0.15">
      <c r="C26" s="15">
        <v>25</v>
      </c>
      <c r="D26" s="15" t="str">
        <f t="shared" si="0"/>
        <v/>
      </c>
      <c r="E26" s="15" t="str">
        <f t="shared" si="1"/>
        <v>DJ</v>
      </c>
      <c r="F26" s="15" t="s">
        <v>357</v>
      </c>
      <c r="G26" s="15" t="str">
        <f t="shared" si="2"/>
        <v/>
      </c>
      <c r="I26" s="15" t="s">
        <v>358</v>
      </c>
      <c r="J26" s="15" t="str">
        <f t="shared" si="3"/>
        <v xml:space="preserve">
*Location(s):*
*Expected Results:*
select expectation…</v>
      </c>
      <c r="L26" s="23" t="str">
        <f t="shared" si="5"/>
        <v/>
      </c>
    </row>
    <row r="27" spans="2:12" ht="89.25" x14ac:dyDescent="0.15">
      <c r="C27" s="15">
        <v>26</v>
      </c>
      <c r="D27" s="15" t="str">
        <f t="shared" si="0"/>
        <v/>
      </c>
      <c r="E27" s="15" t="str">
        <f t="shared" si="1"/>
        <v>DJ</v>
      </c>
      <c r="F27" s="15" t="s">
        <v>357</v>
      </c>
      <c r="G27" s="15" t="str">
        <f t="shared" si="2"/>
        <v/>
      </c>
      <c r="I27" s="15" t="s">
        <v>358</v>
      </c>
      <c r="J27" s="15" t="str">
        <f t="shared" si="3"/>
        <v xml:space="preserve">
*Location(s):*
*Expected Results:*
select expectation…</v>
      </c>
      <c r="L27" s="23" t="str">
        <f t="shared" si="5"/>
        <v/>
      </c>
    </row>
    <row r="28" spans="2:12" ht="89.25" x14ac:dyDescent="0.15">
      <c r="C28" s="15">
        <v>27</v>
      </c>
      <c r="D28" s="15" t="str">
        <f t="shared" si="0"/>
        <v/>
      </c>
      <c r="E28" s="15" t="str">
        <f t="shared" si="1"/>
        <v>DJ</v>
      </c>
      <c r="F28" s="15" t="s">
        <v>357</v>
      </c>
      <c r="G28" s="15" t="str">
        <f t="shared" si="2"/>
        <v/>
      </c>
      <c r="I28" s="15" t="s">
        <v>358</v>
      </c>
      <c r="J28" s="15" t="str">
        <f t="shared" si="3"/>
        <v xml:space="preserve">
*Location(s):*
*Expected Results:*
select expectation…</v>
      </c>
      <c r="L28" s="23" t="str">
        <f t="shared" si="5"/>
        <v/>
      </c>
    </row>
    <row r="29" spans="2:12" ht="89.25" x14ac:dyDescent="0.15">
      <c r="C29" s="15">
        <v>28</v>
      </c>
      <c r="D29" s="15" t="str">
        <f t="shared" si="0"/>
        <v/>
      </c>
      <c r="E29" s="15" t="str">
        <f t="shared" si="1"/>
        <v>DJ</v>
      </c>
      <c r="F29" s="15" t="s">
        <v>357</v>
      </c>
      <c r="G29" s="15" t="str">
        <f t="shared" si="2"/>
        <v/>
      </c>
      <c r="I29" s="15" t="s">
        <v>358</v>
      </c>
      <c r="J29" s="15" t="str">
        <f t="shared" si="3"/>
        <v xml:space="preserve">
*Location(s):*
*Expected Results:*
select expectation…</v>
      </c>
      <c r="L29" s="23" t="str">
        <f t="shared" si="5"/>
        <v/>
      </c>
    </row>
    <row r="30" spans="2:12" ht="89.25" x14ac:dyDescent="0.15">
      <c r="C30" s="15">
        <v>29</v>
      </c>
      <c r="D30" s="15" t="str">
        <f t="shared" si="0"/>
        <v/>
      </c>
      <c r="E30" s="15" t="str">
        <f t="shared" si="1"/>
        <v>DJ</v>
      </c>
      <c r="F30" s="15" t="s">
        <v>357</v>
      </c>
      <c r="G30" s="15" t="str">
        <f t="shared" si="2"/>
        <v/>
      </c>
      <c r="I30" s="15" t="s">
        <v>358</v>
      </c>
      <c r="J30" s="15" t="str">
        <f t="shared" si="3"/>
        <v xml:space="preserve">
*Location(s):*
*Expected Results:*
select expectation…</v>
      </c>
      <c r="L30" s="23" t="str">
        <f t="shared" si="5"/>
        <v/>
      </c>
    </row>
    <row r="31" spans="2:12" ht="89.25" x14ac:dyDescent="0.15">
      <c r="C31" s="15">
        <v>30</v>
      </c>
      <c r="D31" s="15" t="str">
        <f t="shared" si="0"/>
        <v/>
      </c>
      <c r="E31" s="15" t="str">
        <f t="shared" si="1"/>
        <v>DJ</v>
      </c>
      <c r="F31" s="15" t="s">
        <v>357</v>
      </c>
      <c r="G31" s="15" t="str">
        <f t="shared" si="2"/>
        <v/>
      </c>
      <c r="I31" s="15" t="s">
        <v>358</v>
      </c>
      <c r="J31" s="15" t="str">
        <f t="shared" si="3"/>
        <v xml:space="preserve">
*Location(s):*
*Expected Results:*
select expectation…</v>
      </c>
      <c r="L31" s="23" t="str">
        <f t="shared" si="5"/>
        <v/>
      </c>
    </row>
    <row r="32" spans="2:12" ht="89.25" x14ac:dyDescent="0.15">
      <c r="C32" s="15">
        <v>31</v>
      </c>
      <c r="D32" s="15" t="str">
        <f t="shared" si="0"/>
        <v/>
      </c>
      <c r="E32" s="15" t="str">
        <f t="shared" si="1"/>
        <v>DJ</v>
      </c>
      <c r="F32" s="15" t="s">
        <v>357</v>
      </c>
      <c r="G32" s="15" t="str">
        <f t="shared" si="2"/>
        <v/>
      </c>
      <c r="I32" s="15" t="s">
        <v>358</v>
      </c>
      <c r="J32" s="15" t="str">
        <f t="shared" si="3"/>
        <v xml:space="preserve">
*Location(s):*
*Expected Results:*
select expectation…</v>
      </c>
      <c r="L32" s="23" t="str">
        <f t="shared" si="5"/>
        <v/>
      </c>
    </row>
    <row r="33" spans="3:12" ht="89.25" x14ac:dyDescent="0.15">
      <c r="C33" s="15">
        <v>32</v>
      </c>
      <c r="D33" s="15" t="str">
        <f t="shared" si="0"/>
        <v/>
      </c>
      <c r="E33" s="15" t="str">
        <f t="shared" si="1"/>
        <v>DJ</v>
      </c>
      <c r="F33" s="15" t="s">
        <v>357</v>
      </c>
      <c r="G33" s="15" t="str">
        <f t="shared" si="2"/>
        <v/>
      </c>
      <c r="I33" s="15" t="s">
        <v>358</v>
      </c>
      <c r="J33" s="15" t="str">
        <f t="shared" si="3"/>
        <v xml:space="preserve">
*Location(s):*
*Expected Results:*
select expectation…</v>
      </c>
      <c r="L33" s="23" t="str">
        <f t="shared" si="5"/>
        <v/>
      </c>
    </row>
    <row r="34" spans="3:12" ht="89.25" x14ac:dyDescent="0.15">
      <c r="C34" s="15">
        <v>33</v>
      </c>
      <c r="D34" s="15" t="str">
        <f t="shared" si="0"/>
        <v/>
      </c>
      <c r="E34" s="15" t="str">
        <f t="shared" si="1"/>
        <v>DJ</v>
      </c>
      <c r="F34" s="15" t="s">
        <v>357</v>
      </c>
      <c r="G34" s="15" t="str">
        <f t="shared" si="2"/>
        <v/>
      </c>
      <c r="I34" s="15" t="s">
        <v>358</v>
      </c>
      <c r="J34" s="15" t="str">
        <f t="shared" si="3"/>
        <v xml:space="preserve">
*Location(s):*
*Expected Results:*
select expectation…</v>
      </c>
      <c r="L34" s="23" t="str">
        <f t="shared" si="5"/>
        <v/>
      </c>
    </row>
    <row r="35" spans="3:12" ht="89.25" x14ac:dyDescent="0.15">
      <c r="C35" s="15">
        <v>34</v>
      </c>
      <c r="D35" s="15" t="str">
        <f t="shared" si="0"/>
        <v/>
      </c>
      <c r="E35" s="15" t="str">
        <f t="shared" si="1"/>
        <v>DJ</v>
      </c>
      <c r="F35" s="15" t="s">
        <v>357</v>
      </c>
      <c r="G35" s="15" t="str">
        <f t="shared" si="2"/>
        <v/>
      </c>
      <c r="I35" s="15" t="s">
        <v>358</v>
      </c>
      <c r="J35" s="15" t="str">
        <f t="shared" si="3"/>
        <v xml:space="preserve">
*Location(s):*
*Expected Results:*
select expectation…</v>
      </c>
      <c r="L35" s="23" t="str">
        <f t="shared" si="5"/>
        <v/>
      </c>
    </row>
    <row r="36" spans="3:12" ht="89.25" x14ac:dyDescent="0.15">
      <c r="C36" s="15">
        <v>35</v>
      </c>
      <c r="D36" s="15" t="str">
        <f t="shared" si="0"/>
        <v/>
      </c>
      <c r="E36" s="15" t="str">
        <f t="shared" si="1"/>
        <v>DJ</v>
      </c>
      <c r="F36" s="15" t="s">
        <v>357</v>
      </c>
      <c r="G36" s="15" t="str">
        <f t="shared" si="2"/>
        <v/>
      </c>
      <c r="I36" s="15" t="s">
        <v>358</v>
      </c>
      <c r="J36" s="15" t="str">
        <f t="shared" si="3"/>
        <v xml:space="preserve">
*Location(s):*
*Expected Results:*
select expectation…</v>
      </c>
      <c r="L36" s="23" t="str">
        <f t="shared" si="5"/>
        <v/>
      </c>
    </row>
    <row r="37" spans="3:12" ht="89.25" x14ac:dyDescent="0.15">
      <c r="C37" s="15">
        <v>36</v>
      </c>
      <c r="D37" s="15" t="str">
        <f t="shared" si="0"/>
        <v/>
      </c>
      <c r="E37" s="15" t="str">
        <f t="shared" si="1"/>
        <v>DJ</v>
      </c>
      <c r="F37" s="15" t="s">
        <v>357</v>
      </c>
      <c r="G37" s="15" t="str">
        <f t="shared" si="2"/>
        <v/>
      </c>
      <c r="I37" s="15" t="s">
        <v>358</v>
      </c>
      <c r="J37" s="15" t="str">
        <f t="shared" si="3"/>
        <v xml:space="preserve">
*Location(s):*
*Expected Results:*
select expectation…</v>
      </c>
      <c r="L37" s="23" t="str">
        <f t="shared" si="5"/>
        <v/>
      </c>
    </row>
  </sheetData>
  <phoneticPr fontId="1" type="noConversion"/>
  <dataValidations count="1">
    <dataValidation type="list" allowBlank="1" showInputMessage="1" showErrorMessage="1" sqref="I2:I37">
      <formula1>expected</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Sheet1</vt:lpstr>
      <vt:lpstr>20200218</vt:lpstr>
      <vt:lpstr>20200219</vt:lpstr>
      <vt:lpstr>20200220</vt:lpstr>
      <vt:lpstr>20200221</vt:lpstr>
      <vt:lpstr>ShiSonghua</vt:lpstr>
      <vt:lpstr>Assignment</vt:lpstr>
      <vt:lpstr>commands</vt:lpstr>
      <vt:lpstr>Data</vt:lpstr>
      <vt:lpstr>Template</vt:lpstr>
      <vt:lpstr>expected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 Songhua</dc:creator>
  <cp:lastModifiedBy>Shi Songhua</cp:lastModifiedBy>
  <dcterms:created xsi:type="dcterms:W3CDTF">2020-02-19T02:21:43Z</dcterms:created>
  <dcterms:modified xsi:type="dcterms:W3CDTF">2020-02-28T10:55:38Z</dcterms:modified>
</cp:coreProperties>
</file>